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triz_E2E" sheetId="1" state="visible" r:id="rId1"/>
    <sheet xmlns:r="http://schemas.openxmlformats.org/officeDocument/2006/relationships" name="Diagnostico" sheetId="2" state="visible" r:id="rId2"/>
    <sheet xmlns:r="http://schemas.openxmlformats.org/officeDocument/2006/relationships" name="Sincronizacion" sheetId="3" state="visible" r:id="rId3"/>
  </sheets>
  <definedNames>
    <definedName name="_xlnm._FilterDatabase" localSheetId="0" hidden="1">'Matriz_E2E'!$A$8:$O$81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3">
    <font>
      <name val="Calibri"/>
      <charset val="1"/>
      <family val="2"/>
      <color theme="1"/>
      <sz val="11"/>
    </font>
    <font>
      <name val="Arial"/>
      <family val="0"/>
      <sz val="10"/>
    </font>
    <font>
      <name val="Arial"/>
      <family val="0"/>
      <sz val="10"/>
    </font>
    <font>
      <name val="Arial"/>
      <family val="0"/>
      <sz val="10"/>
    </font>
    <font>
      <name val="Times New Roman"/>
      <charset val="1"/>
      <family val="0"/>
      <b val="1"/>
      <sz val="13"/>
    </font>
    <font>
      <name val="Times New Roman"/>
      <charset val="1"/>
      <family val="0"/>
      <i val="1"/>
      <sz val="9"/>
    </font>
    <font>
      <name val="Times New Roman"/>
      <charset val="1"/>
      <family val="0"/>
      <i val="1"/>
      <sz val="8"/>
    </font>
    <font>
      <name val="Times New Roman"/>
      <charset val="1"/>
      <family val="0"/>
      <b val="1"/>
      <sz val="10"/>
    </font>
    <font>
      <name val="Times New Roman"/>
      <charset val="1"/>
      <family val="0"/>
      <sz val="9"/>
    </font>
    <font>
      <name val="Times New Roman"/>
      <charset val="1"/>
      <family val="0"/>
      <b val="1"/>
      <sz val="12"/>
    </font>
    <font>
      <name val="Times New Roman"/>
      <charset val="1"/>
      <family val="0"/>
      <sz val="10"/>
    </font>
    <font>
      <name val="Times New Roman"/>
      <charset val="1"/>
      <family val="0"/>
      <b val="1"/>
      <sz val="11"/>
    </font>
    <font>
      <name val="Times New Roman"/>
      <charset val="1"/>
      <family val="0"/>
      <sz val="8"/>
    </font>
  </fonts>
  <fills count="6">
    <fill>
      <patternFill/>
    </fill>
    <fill>
      <patternFill patternType="gray125"/>
    </fill>
    <fill>
      <patternFill patternType="solid">
        <fgColor rgb="FFD9D9D9"/>
        <bgColor rgb="FFE2EFDA"/>
      </patternFill>
    </fill>
    <fill>
      <patternFill patternType="solid">
        <fgColor rgb="FFE2EFDA"/>
        <bgColor rgb="FFE7F3E7"/>
      </patternFill>
    </fill>
    <fill>
      <patternFill patternType="solid">
        <fgColor rgb="FFEAF1F8"/>
        <bgColor rgb="FFE7F3E7"/>
      </patternFill>
    </fill>
    <fill>
      <patternFill patternType="solid">
        <fgColor rgb="FFE7F3E7"/>
        <bgColor rgb="FFE2EFDA"/>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0" borderId="1" applyAlignment="1" pivotButton="0" quotePrefix="0" xfId="0">
      <alignment horizontal="center"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3" borderId="1" applyAlignment="1" pivotButton="0" quotePrefix="0" xfId="0">
      <alignment horizontal="center" vertical="top" wrapText="1"/>
    </xf>
    <xf numFmtId="0" fontId="8" fillId="4" borderId="1" applyAlignment="1" pivotButton="0" quotePrefix="0" xfId="0">
      <alignment horizontal="center" vertical="top" wrapText="1"/>
    </xf>
    <xf numFmtId="0" fontId="9" fillId="0" borderId="0" applyAlignment="1" pivotButton="0" quotePrefix="0" xfId="0">
      <alignment horizontal="general" vertical="bottom"/>
    </xf>
    <xf numFmtId="0" fontId="5" fillId="0" borderId="0" applyAlignment="1" pivotButton="0" quotePrefix="0" xfId="0">
      <alignment horizontal="general" vertical="top" wrapText="1"/>
    </xf>
    <xf numFmtId="0" fontId="10" fillId="0" borderId="0" applyAlignment="1" pivotButton="0" quotePrefix="0" xfId="0">
      <alignment horizontal="general" vertical="bottom"/>
    </xf>
    <xf numFmtId="0" fontId="7" fillId="0" borderId="1" applyAlignment="1" pivotButton="0" quotePrefix="0" xfId="0">
      <alignment horizontal="general" vertical="bottom"/>
    </xf>
    <xf numFmtId="164" fontId="7" fillId="0" borderId="1" applyAlignment="1" pivotButton="0" quotePrefix="0" xfId="0">
      <alignment horizontal="general" vertical="bottom"/>
    </xf>
    <xf numFmtId="0" fontId="11" fillId="0" borderId="0" applyAlignment="1" pivotButton="0" quotePrefix="0" xfId="0">
      <alignment horizontal="general" vertical="bottom"/>
    </xf>
    <xf numFmtId="0" fontId="7" fillId="2" borderId="1" applyAlignment="1" pivotButton="0" quotePrefix="0" xfId="0">
      <alignment horizontal="general" vertical="bottom"/>
    </xf>
    <xf numFmtId="0" fontId="8" fillId="0" borderId="0" applyAlignment="1" pivotButton="0" quotePrefix="0" xfId="0">
      <alignment horizontal="general" vertical="bottom" wrapText="1"/>
    </xf>
    <xf numFmtId="0" fontId="7" fillId="2" borderId="1" applyAlignment="1" pivotButton="0" quotePrefix="0" xfId="0">
      <alignment horizontal="center" vertical="bottom" wrapText="1"/>
    </xf>
    <xf numFmtId="0" fontId="7" fillId="2" borderId="0" applyAlignment="1" pivotButton="0" quotePrefix="0" xfId="0">
      <alignment horizontal="center" vertical="bottom" wrapText="1"/>
    </xf>
    <xf numFmtId="0" fontId="8" fillId="0" borderId="1" applyAlignment="1" pivotButton="0" quotePrefix="0" xfId="0">
      <alignment horizontal="general" vertical="bottom" wrapText="1"/>
    </xf>
    <xf numFmtId="0" fontId="8" fillId="0" borderId="1" applyAlignment="1" pivotButton="0" quotePrefix="0" xfId="0">
      <alignment horizontal="center" vertical="bottom"/>
    </xf>
    <xf numFmtId="0" fontId="8" fillId="0" borderId="0" applyAlignment="1" pivotButton="0" quotePrefix="0" xfId="0">
      <alignment horizontal="center" vertical="bottom"/>
    </xf>
    <xf numFmtId="0" fontId="7" fillId="0" borderId="0" applyAlignment="1" pivotButton="0" quotePrefix="0" xfId="0">
      <alignment horizontal="general" vertical="bottom"/>
    </xf>
    <xf numFmtId="164" fontId="7" fillId="0" borderId="0" applyAlignment="1" pivotButton="0" quotePrefix="0" xfId="0">
      <alignment horizontal="general" vertical="bottom"/>
    </xf>
    <xf numFmtId="0" fontId="12" fillId="0" borderId="0" applyAlignment="1" pivotButton="0" quotePrefix="0" xfId="0">
      <alignment horizontal="general" vertical="bottom" wrapText="1"/>
    </xf>
    <xf numFmtId="0" fontId="7" fillId="0" borderId="0" applyAlignment="1" pivotButton="0" quotePrefix="0" xfId="0">
      <alignment horizontal="general" vertical="bottom"/>
    </xf>
    <xf numFmtId="0" fontId="12" fillId="0" borderId="0" applyAlignment="1" pivotButton="0" quotePrefix="0" xfId="0">
      <alignment horizontal="general" vertical="top" wrapText="1"/>
    </xf>
    <xf numFmtId="164" fontId="7" fillId="5"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0" borderId="1" applyAlignment="1" pivotButton="0" quotePrefix="0" xfId="0">
      <alignment horizontal="center"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3" borderId="1" applyAlignment="1" pivotButton="0" quotePrefix="0" xfId="0">
      <alignment horizontal="center" vertical="top" wrapText="1"/>
    </xf>
    <xf numFmtId="0" fontId="8" fillId="4" borderId="1" applyAlignment="1" pivotButton="0" quotePrefix="0" xfId="0">
      <alignment horizontal="center" vertical="top" wrapText="1"/>
    </xf>
    <xf numFmtId="0" fontId="9" fillId="0" borderId="0" applyAlignment="1" pivotButton="0" quotePrefix="0" xfId="0">
      <alignment horizontal="general" vertical="bottom"/>
    </xf>
    <xf numFmtId="0" fontId="5" fillId="0" borderId="0" applyAlignment="1" pivotButton="0" quotePrefix="0" xfId="0">
      <alignment horizontal="general" vertical="top" wrapText="1"/>
    </xf>
    <xf numFmtId="0" fontId="10" fillId="0" borderId="0" applyAlignment="1" pivotButton="0" quotePrefix="0" xfId="0">
      <alignment horizontal="general" vertical="bottom"/>
    </xf>
    <xf numFmtId="0" fontId="7" fillId="0" borderId="1" applyAlignment="1" pivotButton="0" quotePrefix="0" xfId="0">
      <alignment horizontal="general" vertical="bottom"/>
    </xf>
    <xf numFmtId="164" fontId="7" fillId="0" borderId="1" applyAlignment="1" pivotButton="0" quotePrefix="0" xfId="0">
      <alignment horizontal="general" vertical="bottom"/>
    </xf>
    <xf numFmtId="0" fontId="11" fillId="0" borderId="0" applyAlignment="1" pivotButton="0" quotePrefix="0" xfId="0">
      <alignment horizontal="general" vertical="bottom"/>
    </xf>
    <xf numFmtId="0" fontId="7" fillId="2" borderId="1" applyAlignment="1" pivotButton="0" quotePrefix="0" xfId="0">
      <alignment horizontal="general" vertical="bottom"/>
    </xf>
    <xf numFmtId="0" fontId="8" fillId="0" borderId="0" applyAlignment="1" pivotButton="0" quotePrefix="0" xfId="0">
      <alignment horizontal="general" vertical="bottom" wrapText="1"/>
    </xf>
    <xf numFmtId="0" fontId="7" fillId="2" borderId="1" applyAlignment="1" pivotButton="0" quotePrefix="0" xfId="0">
      <alignment horizontal="center" vertical="bottom" wrapText="1"/>
    </xf>
    <xf numFmtId="0" fontId="7" fillId="2" borderId="0" applyAlignment="1" pivotButton="0" quotePrefix="0" xfId="0">
      <alignment horizontal="center" vertical="bottom" wrapText="1"/>
    </xf>
    <xf numFmtId="0" fontId="8" fillId="0" borderId="1" applyAlignment="1" pivotButton="0" quotePrefix="0" xfId="0">
      <alignment horizontal="general" vertical="bottom" wrapText="1"/>
    </xf>
    <xf numFmtId="0" fontId="8" fillId="0" borderId="1" applyAlignment="1" pivotButton="0" quotePrefix="0" xfId="0">
      <alignment horizontal="center" vertical="bottom"/>
    </xf>
    <xf numFmtId="0" fontId="8" fillId="0" borderId="0" applyAlignment="1" pivotButton="0" quotePrefix="0" xfId="0">
      <alignment horizontal="center" vertical="bottom"/>
    </xf>
    <xf numFmtId="0" fontId="7" fillId="0" borderId="0" applyAlignment="1" pivotButton="0" quotePrefix="0" xfId="0">
      <alignment horizontal="general" vertical="bottom"/>
    </xf>
    <xf numFmtId="164" fontId="7" fillId="0" borderId="0" applyAlignment="1" pivotButton="0" quotePrefix="0" xfId="0">
      <alignment horizontal="general" vertical="bottom"/>
    </xf>
    <xf numFmtId="0" fontId="12" fillId="0" borderId="0" applyAlignment="1" pivotButton="0" quotePrefix="0" xfId="0">
      <alignment horizontal="general" vertical="bottom" wrapText="1"/>
    </xf>
    <xf numFmtId="0" fontId="12" fillId="0" borderId="0" applyAlignment="1" pivotButton="0" quotePrefix="0" xfId="0">
      <alignment horizontal="general" vertical="top" wrapText="1"/>
    </xf>
    <xf numFmtId="164" fontId="7" fillId="5"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D9D9D9"/>
          <bgColor rgb="FF000000"/>
        </patternFill>
      </fill>
    </dxf>
    <dxf>
      <fill>
        <patternFill patternType="solid">
          <bgColor rgb="FF000000"/>
        </patternFill>
      </fill>
    </dxf>
    <dxf>
      <fill>
        <patternFill patternType="solid">
          <fgColor rgb="FFEAF1F8"/>
          <bgColor rgb="FF000000"/>
        </patternFill>
      </fill>
    </dxf>
    <dxf>
      <fill>
        <patternFill patternType="solid">
          <fgColor rgb="FFE2EFDA"/>
          <bgColor rgb="FF000000"/>
        </patternFill>
      </fill>
    </dxf>
  </dxfs>
  <colors>
    <indexedColors>
      <rgbColor rgb="FF000000"/>
      <rgbColor rgb="FFEAF1F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F3E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1"/>
  <sheetViews>
    <sheetView showFormulas="0" showGridLines="1" showRowColHeaders="1" showZeros="1" rightToLeft="0" tabSelected="1" showOutlineSymbols="1" defaultGridColor="1" view="normal" topLeftCell="A9"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31" min="1" max="1"/>
    <col width="15" customWidth="1" style="31" min="2" max="2"/>
    <col width="13" customWidth="1" style="31" min="3" max="3"/>
    <col width="10" customWidth="1" style="31" min="4" max="4"/>
    <col width="6" customWidth="1" style="31" min="5" max="5"/>
    <col width="10" customWidth="1" style="31" min="6" max="8"/>
    <col width="13" customWidth="1" style="31" min="9" max="9"/>
    <col width="14" customWidth="1" style="31" min="10" max="10"/>
    <col width="26" customWidth="1" style="31" min="11" max="11"/>
    <col width="10" customWidth="1" style="31" min="12" max="12"/>
    <col width="11" customWidth="1" style="31" min="13" max="13"/>
    <col width="12" customWidth="1" style="31" min="14" max="14"/>
    <col width="14" customWidth="1" style="31" min="15" max="15"/>
  </cols>
  <sheetData>
    <row r="1" ht="15.75" customHeight="1" s="32">
      <c r="A1" s="33" t="inlineStr">
        <is>
          <t>MATRIZ DE TRAZABILIDAD EXTREMO A EXTREMO — ERS SIMPA v1.1</t>
        </is>
      </c>
    </row>
    <row r="2" ht="15" customHeight="1" s="32">
      <c r="A2" s="34" t="inlineStr">
        <is>
          <t>Cadena completa: Fuente → Requisito → Caso de uso → Clase/Módulo → Proceso DFD → Estado → Criterio BDD → Caso de prueba. Hacia atrás: columnas B y C. Hacia adelante: columnas G a M. La columna N declara el estado de la traza de cada fila.</t>
        </is>
      </c>
    </row>
    <row r="3" ht="691.5" customHeight="1" s="32">
      <c r="A3" s="35" t="inlineStr">
        <is>
          <t>PROCEDENCIA. Columnas B–E, G y L: Tabla 69 del ERS (§5.4). Columna F: ficha del requisito en la §3.2. Columna H: §4 y cu_11_18.tex. Columna I: bloque funcional de la §3.2, con la correspondencia declarada en la Tabla del §8.6. Columna J: §8, diccionario de procesos. Columna K: diagramas de estados de la §4; se declara "No aplica" cuando el objeto del requisito carece de ciclo de vida modelado, que no es lo mismo que un vacío de trazabilidad. Columna M: CA-01 a CA-24 de las historias de usuario y CB-01 a CB-37 del Apéndice F.</t>
        </is>
      </c>
      <c r="B3" s="31" t="n"/>
    </row>
    <row r="4" ht="15" customHeight="1" s="32">
      <c r="A4" t="inlineStr">
        <is>
          <t>ALCANCE. Esta matriz traza extremo a extremo los 42 RF y los 18 requisitos de IA (RF-IA/RNF-IA), 60 de 60. Los 19 RNF y los 10 RD del catálogo se verifican por otra vía (criterios de aceptación y revisión directa contra el ERS, no fila a fila en esta matriz); de ellos, 6 RNF y 2 RD sí tienen fila aquí porque además intervienen en una cadena funcional. Este alcance fue una decisión de auditoría de PE5, no un vacío de trazabilidad.</t>
        </is>
      </c>
    </row>
    <row r="5" ht="15" customHeight="1" s="32"/>
    <row r="8" ht="23.25" customHeight="1" s="32">
      <c r="A8" s="36" t="inlineStr">
        <is>
          <t>N.º</t>
        </is>
      </c>
      <c r="B8" s="36" t="inlineStr">
        <is>
          <t>Interesado (fuente)</t>
        </is>
      </c>
      <c r="C8" s="36" t="inlineStr">
        <is>
          <t>Evidencia</t>
        </is>
      </c>
      <c r="D8" s="36" t="inlineStr">
        <is>
          <t>Requisito</t>
        </is>
      </c>
      <c r="E8" s="36" t="inlineStr">
        <is>
          <t>Tipo</t>
        </is>
      </c>
      <c r="F8" s="36" t="inlineStr">
        <is>
          <t>Prioridad</t>
        </is>
      </c>
      <c r="G8" s="36" t="inlineStr">
        <is>
          <t>Caso de uso</t>
        </is>
      </c>
      <c r="H8" s="36" t="inlineStr">
        <is>
          <t>Historia</t>
        </is>
      </c>
      <c r="I8" s="36" t="inlineStr">
        <is>
          <t>Clase / Módulo</t>
        </is>
      </c>
      <c r="J8" s="36" t="inlineStr">
        <is>
          <t>Proceso DFD</t>
        </is>
      </c>
      <c r="K8" s="36" t="inlineStr">
        <is>
          <t>Estado (máquina de estados)</t>
        </is>
      </c>
      <c r="L8" s="36" t="inlineStr">
        <is>
          <t>Prototipo</t>
        </is>
      </c>
      <c r="M8" s="36" t="inlineStr">
        <is>
          <t>Criterio BDD</t>
        </is>
      </c>
      <c r="N8" s="36" t="inlineStr">
        <is>
          <t>Caso de prueba</t>
        </is>
      </c>
      <c r="O8" s="36" t="inlineStr">
        <is>
          <t>Estado de la traza</t>
        </is>
      </c>
    </row>
    <row r="9" ht="15" customHeight="1" s="32">
      <c r="A9" s="37" t="inlineStr">
        <is>
          <t>1</t>
        </is>
      </c>
      <c r="B9" s="38" t="inlineStr">
        <is>
          <t>Administrador</t>
        </is>
      </c>
      <c r="C9" s="38" t="inlineStr">
        <is>
          <t>EV-01, EV-09</t>
        </is>
      </c>
      <c r="D9" s="37" t="inlineStr">
        <is>
          <t>RF-01</t>
        </is>
      </c>
      <c r="E9" s="37" t="inlineStr">
        <is>
          <t>RF</t>
        </is>
      </c>
      <c r="F9" s="37" t="inlineStr">
        <is>
          <t>Must</t>
        </is>
      </c>
      <c r="G9" s="37" t="inlineStr">
        <is>
          <t>CU-11</t>
        </is>
      </c>
      <c r="H9" s="37" t="inlineStr">
        <is>
          <t>HU-01</t>
        </is>
      </c>
      <c r="I9" s="39" t="inlineStr">
        <is>
          <t>M-01</t>
        </is>
      </c>
      <c r="J9" s="40" t="inlineStr">
        <is>
          <t>P-01</t>
        </is>
      </c>
      <c r="K9" s="39" t="inlineStr">
        <is>
          <t>No aplica</t>
        </is>
      </c>
      <c r="L9" s="37" t="inlineStr">
        <is>
          <t>MU-01</t>
        </is>
      </c>
      <c r="M9" s="40" t="inlineStr">
        <is>
          <t>CA-01</t>
        </is>
      </c>
      <c r="N9" s="40" t="inlineStr">
        <is>
          <t>CP-01</t>
        </is>
      </c>
      <c r="O9" s="40" t="inlineStr">
        <is>
          <t>Completa</t>
        </is>
      </c>
    </row>
    <row r="10" ht="15" customHeight="1" s="32">
      <c r="A10" s="37" t="inlineStr">
        <is>
          <t>2</t>
        </is>
      </c>
      <c r="B10" s="38" t="inlineStr">
        <is>
          <t>Administrador</t>
        </is>
      </c>
      <c r="C10" s="38" t="inlineStr">
        <is>
          <t>EV-01, EV-02</t>
        </is>
      </c>
      <c r="D10" s="37" t="inlineStr">
        <is>
          <t>RF-02</t>
        </is>
      </c>
      <c r="E10" s="37" t="inlineStr">
        <is>
          <t>RF</t>
        </is>
      </c>
      <c r="F10" s="37" t="inlineStr">
        <is>
          <t>Must</t>
        </is>
      </c>
      <c r="G10" s="37" t="inlineStr">
        <is>
          <t>CU-12</t>
        </is>
      </c>
      <c r="H10" s="37" t="inlineStr">
        <is>
          <t>HU-02</t>
        </is>
      </c>
      <c r="I10" s="39" t="inlineStr">
        <is>
          <t>M-01</t>
        </is>
      </c>
      <c r="J10" s="40" t="inlineStr">
        <is>
          <t>P-01</t>
        </is>
      </c>
      <c r="K10" s="39" t="inlineStr">
        <is>
          <t>No aplica</t>
        </is>
      </c>
      <c r="L10" s="37" t="inlineStr">
        <is>
          <t>MU-05</t>
        </is>
      </c>
      <c r="M10" s="40" t="inlineStr">
        <is>
          <t>CA-02</t>
        </is>
      </c>
      <c r="N10" s="40" t="inlineStr">
        <is>
          <t>CP-02</t>
        </is>
      </c>
      <c r="O10" s="40" t="inlineStr">
        <is>
          <t>Completa</t>
        </is>
      </c>
    </row>
    <row r="11" ht="15" customHeight="1" s="32">
      <c r="A11" s="37" t="inlineStr">
        <is>
          <t>3</t>
        </is>
      </c>
      <c r="B11" s="38" t="inlineStr">
        <is>
          <t>Administrador</t>
        </is>
      </c>
      <c r="C11" s="38" t="inlineStr">
        <is>
          <t>EV-01, EV-11</t>
        </is>
      </c>
      <c r="D11" s="37" t="inlineStr">
        <is>
          <t>RF-03</t>
        </is>
      </c>
      <c r="E11" s="37" t="inlineStr">
        <is>
          <t>RF</t>
        </is>
      </c>
      <c r="F11" s="37" t="inlineStr">
        <is>
          <t>Must</t>
        </is>
      </c>
      <c r="G11" s="37" t="inlineStr">
        <is>
          <t>CU-13</t>
        </is>
      </c>
      <c r="H11" s="37" t="inlineStr">
        <is>
          <t>HU-03</t>
        </is>
      </c>
      <c r="I11" s="39" t="inlineStr">
        <is>
          <t>M-01</t>
        </is>
      </c>
      <c r="J11" s="40" t="inlineStr">
        <is>
          <t>P-01</t>
        </is>
      </c>
      <c r="K11" s="39" t="inlineStr">
        <is>
          <t>No aplica</t>
        </is>
      </c>
      <c r="L11" s="37" t="inlineStr">
        <is>
          <t>—</t>
        </is>
      </c>
      <c r="M11" s="40" t="inlineStr">
        <is>
          <t>CA-03</t>
        </is>
      </c>
      <c r="N11" s="40" t="inlineStr">
        <is>
          <t>CP-03</t>
        </is>
      </c>
      <c r="O11" s="40" t="inlineStr">
        <is>
          <t>Completa</t>
        </is>
      </c>
    </row>
    <row r="12" ht="15" customHeight="1" s="32">
      <c r="A12" s="37" t="inlineStr">
        <is>
          <t>4</t>
        </is>
      </c>
      <c r="B12" s="38" t="inlineStr">
        <is>
          <t>Trabajador</t>
        </is>
      </c>
      <c r="C12" s="38" t="inlineStr">
        <is>
          <t>EV-05, EV-06</t>
        </is>
      </c>
      <c r="D12" s="37" t="inlineStr">
        <is>
          <t>RF-04</t>
        </is>
      </c>
      <c r="E12" s="37" t="inlineStr">
        <is>
          <t>RF</t>
        </is>
      </c>
      <c r="F12" s="37" t="inlineStr">
        <is>
          <t>Must</t>
        </is>
      </c>
      <c r="G12" s="37" t="inlineStr">
        <is>
          <t>CU-04</t>
        </is>
      </c>
      <c r="H12" s="37" t="inlineStr">
        <is>
          <t>HU-04</t>
        </is>
      </c>
      <c r="I12" s="39" t="inlineStr">
        <is>
          <t>M-03</t>
        </is>
      </c>
      <c r="J12" s="40" t="inlineStr">
        <is>
          <t>P-03</t>
        </is>
      </c>
      <c r="K12" s="39" t="inlineStr">
        <is>
          <t>No aplica</t>
        </is>
      </c>
      <c r="L12" s="37" t="inlineStr">
        <is>
          <t>MU-04</t>
        </is>
      </c>
      <c r="M12" s="40" t="inlineStr">
        <is>
          <t>CA-04</t>
        </is>
      </c>
      <c r="N12" s="40" t="inlineStr">
        <is>
          <t>CP-04</t>
        </is>
      </c>
      <c r="O12" s="40" t="inlineStr">
        <is>
          <t>Completa</t>
        </is>
      </c>
    </row>
    <row r="13" ht="15" customHeight="1" s="32">
      <c r="A13" s="37" t="inlineStr">
        <is>
          <t>5</t>
        </is>
      </c>
      <c r="B13" s="38" t="inlineStr">
        <is>
          <t>Trabajador</t>
        </is>
      </c>
      <c r="C13" s="38" t="inlineStr">
        <is>
          <t>EV-11</t>
        </is>
      </c>
      <c r="D13" s="37" t="inlineStr">
        <is>
          <t>RF-04</t>
        </is>
      </c>
      <c r="E13" s="37" t="inlineStr">
        <is>
          <t>RF</t>
        </is>
      </c>
      <c r="F13" s="37" t="inlineStr">
        <is>
          <t>Must</t>
        </is>
      </c>
      <c r="G13" s="37" t="inlineStr">
        <is>
          <t>CU-04</t>
        </is>
      </c>
      <c r="H13" s="37" t="inlineStr">
        <is>
          <t>HU-04</t>
        </is>
      </c>
      <c r="I13" s="39" t="inlineStr">
        <is>
          <t>M-03</t>
        </is>
      </c>
      <c r="J13" s="40" t="inlineStr">
        <is>
          <t>P-03</t>
        </is>
      </c>
      <c r="K13" s="39" t="inlineStr">
        <is>
          <t>No aplica</t>
        </is>
      </c>
      <c r="L13" s="37" t="inlineStr">
        <is>
          <t>MU-04</t>
        </is>
      </c>
      <c r="M13" s="40" t="inlineStr">
        <is>
          <t>CA-04</t>
        </is>
      </c>
      <c r="N13" s="40" t="inlineStr">
        <is>
          <t>CP-04</t>
        </is>
      </c>
      <c r="O13" s="40" t="inlineStr">
        <is>
          <t>Completa</t>
        </is>
      </c>
    </row>
    <row r="14" ht="15" customHeight="1" s="32">
      <c r="A14" s="37" t="inlineStr">
        <is>
          <t>6</t>
        </is>
      </c>
      <c r="B14" s="38" t="inlineStr">
        <is>
          <t>Técnico fitosan.</t>
        </is>
      </c>
      <c r="C14" s="38" t="inlineStr">
        <is>
          <t>EV-01, EV-02</t>
        </is>
      </c>
      <c r="D14" s="37" t="inlineStr">
        <is>
          <t>RF-05</t>
        </is>
      </c>
      <c r="E14" s="37" t="inlineStr">
        <is>
          <t>RF</t>
        </is>
      </c>
      <c r="F14" s="37" t="inlineStr">
        <is>
          <t>Must</t>
        </is>
      </c>
      <c r="G14" s="37" t="inlineStr">
        <is>
          <t>CU-15</t>
        </is>
      </c>
      <c r="H14" s="37" t="inlineStr">
        <is>
          <t>HU-05</t>
        </is>
      </c>
      <c r="I14" s="39" t="inlineStr">
        <is>
          <t>M-03</t>
        </is>
      </c>
      <c r="J14" s="40" t="inlineStr">
        <is>
          <t>P-03</t>
        </is>
      </c>
      <c r="K14" s="39" t="inlineStr">
        <is>
          <t>Alerta: Abierta → En verificación</t>
        </is>
      </c>
      <c r="L14" s="37" t="inlineStr">
        <is>
          <t>MU-05</t>
        </is>
      </c>
      <c r="M14" s="40" t="inlineStr">
        <is>
          <t>CA-05</t>
        </is>
      </c>
      <c r="N14" s="40" t="inlineStr">
        <is>
          <t>CP-05</t>
        </is>
      </c>
      <c r="O14" s="40" t="inlineStr">
        <is>
          <t>Completa</t>
        </is>
      </c>
    </row>
    <row r="15" ht="15" customHeight="1" s="32">
      <c r="A15" s="37" t="inlineStr">
        <is>
          <t>7</t>
        </is>
      </c>
      <c r="B15" s="38" t="inlineStr">
        <is>
          <t>Administrador</t>
        </is>
      </c>
      <c r="C15" s="38" t="inlineStr">
        <is>
          <t>EV-01</t>
        </is>
      </c>
      <c r="D15" s="37" t="inlineStr">
        <is>
          <t>RF-06</t>
        </is>
      </c>
      <c r="E15" s="37" t="inlineStr">
        <is>
          <t>RF</t>
        </is>
      </c>
      <c r="F15" s="37" t="inlineStr">
        <is>
          <t>Should</t>
        </is>
      </c>
      <c r="G15" s="37" t="inlineStr">
        <is>
          <t>CU-12</t>
        </is>
      </c>
      <c r="H15" s="37" t="inlineStr">
        <is>
          <t>—</t>
        </is>
      </c>
      <c r="I15" s="39" t="inlineStr">
        <is>
          <t>M-03</t>
        </is>
      </c>
      <c r="J15" s="40" t="inlineStr">
        <is>
          <t>P-03</t>
        </is>
      </c>
      <c r="K15" s="39" t="inlineStr">
        <is>
          <t>Racimo: En desarrollo</t>
        </is>
      </c>
      <c r="L15" s="37" t="inlineStr">
        <is>
          <t>MU-05</t>
        </is>
      </c>
      <c r="M15" s="40" t="inlineStr">
        <is>
          <t>CB-01</t>
        </is>
      </c>
      <c r="N15" s="40" t="inlineStr">
        <is>
          <t>CP-06</t>
        </is>
      </c>
      <c r="O15" s="40" t="inlineStr">
        <is>
          <t>Completa</t>
        </is>
      </c>
    </row>
    <row r="16" ht="15" customHeight="1" s="32">
      <c r="A16" s="37" t="inlineStr">
        <is>
          <t>8</t>
        </is>
      </c>
      <c r="B16" s="38" t="inlineStr">
        <is>
          <t>Asistente admin.</t>
        </is>
      </c>
      <c r="C16" s="38" t="inlineStr">
        <is>
          <t>EV-01, EV-02</t>
        </is>
      </c>
      <c r="D16" s="37" t="inlineStr">
        <is>
          <t>RF-07</t>
        </is>
      </c>
      <c r="E16" s="37" t="inlineStr">
        <is>
          <t>RF</t>
        </is>
      </c>
      <c r="F16" s="37" t="inlineStr">
        <is>
          <t>Must</t>
        </is>
      </c>
      <c r="G16" s="37" t="inlineStr">
        <is>
          <t>CU-01</t>
        </is>
      </c>
      <c r="H16" s="37" t="inlineStr">
        <is>
          <t>HU-06</t>
        </is>
      </c>
      <c r="I16" s="39" t="inlineStr">
        <is>
          <t>M-05</t>
        </is>
      </c>
      <c r="J16" s="40" t="inlineStr">
        <is>
          <t>P-05</t>
        </is>
      </c>
      <c r="K16" s="39" t="inlineStr">
        <is>
          <t>Alerta: Abierta → Notificada</t>
        </is>
      </c>
      <c r="L16" s="37" t="inlineStr">
        <is>
          <t>MU-03</t>
        </is>
      </c>
      <c r="M16" s="40" t="inlineStr">
        <is>
          <t>CA-06</t>
        </is>
      </c>
      <c r="N16" s="40" t="inlineStr">
        <is>
          <t>CP-07</t>
        </is>
      </c>
      <c r="O16" s="40" t="inlineStr">
        <is>
          <t>Completa</t>
        </is>
      </c>
    </row>
    <row r="17" ht="15" customHeight="1" s="32">
      <c r="A17" s="37" t="inlineStr">
        <is>
          <t>9</t>
        </is>
      </c>
      <c r="B17" s="38" t="inlineStr">
        <is>
          <t>Asistente admin.</t>
        </is>
      </c>
      <c r="C17" s="38" t="inlineStr">
        <is>
          <t>EV-07</t>
        </is>
      </c>
      <c r="D17" s="37" t="inlineStr">
        <is>
          <t>RF-07</t>
        </is>
      </c>
      <c r="E17" s="37" t="inlineStr">
        <is>
          <t>RF</t>
        </is>
      </c>
      <c r="F17" s="37" t="inlineStr">
        <is>
          <t>Must</t>
        </is>
      </c>
      <c r="G17" s="37" t="inlineStr">
        <is>
          <t>CU-01</t>
        </is>
      </c>
      <c r="H17" s="37" t="inlineStr">
        <is>
          <t>HU-06</t>
        </is>
      </c>
      <c r="I17" s="39" t="inlineStr">
        <is>
          <t>M-05</t>
        </is>
      </c>
      <c r="J17" s="40" t="inlineStr">
        <is>
          <t>P-05</t>
        </is>
      </c>
      <c r="K17" s="39" t="inlineStr">
        <is>
          <t>Alerta: Abierta → Notificada</t>
        </is>
      </c>
      <c r="L17" s="37" t="inlineStr">
        <is>
          <t>MU-03</t>
        </is>
      </c>
      <c r="M17" s="40" t="inlineStr">
        <is>
          <t>CA-06</t>
        </is>
      </c>
      <c r="N17" s="40" t="inlineStr">
        <is>
          <t>CP-07</t>
        </is>
      </c>
      <c r="O17" s="40" t="inlineStr">
        <is>
          <t>Completa</t>
        </is>
      </c>
    </row>
    <row r="18" ht="15" customHeight="1" s="32">
      <c r="A18" s="37" t="inlineStr">
        <is>
          <t>10</t>
        </is>
      </c>
      <c r="B18" s="38" t="inlineStr">
        <is>
          <t>Asesor técnico</t>
        </is>
      </c>
      <c r="C18" s="38" t="inlineStr">
        <is>
          <t>EV-02</t>
        </is>
      </c>
      <c r="D18" s="37" t="inlineStr">
        <is>
          <t>RF-08</t>
        </is>
      </c>
      <c r="E18" s="37" t="inlineStr">
        <is>
          <t>RF</t>
        </is>
      </c>
      <c r="F18" s="37" t="inlineStr">
        <is>
          <t>Must</t>
        </is>
      </c>
      <c r="G18" s="37" t="inlineStr">
        <is>
          <t>CU-02</t>
        </is>
      </c>
      <c r="H18" s="37" t="inlineStr">
        <is>
          <t>HU-07</t>
        </is>
      </c>
      <c r="I18" s="39" t="inlineStr">
        <is>
          <t>M-05</t>
        </is>
      </c>
      <c r="J18" s="40" t="inlineStr">
        <is>
          <t>P-05</t>
        </is>
      </c>
      <c r="K18" s="39" t="inlineStr">
        <is>
          <t>Alerta: Abierta → Notificada</t>
        </is>
      </c>
      <c r="L18" s="37" t="inlineStr">
        <is>
          <t>MU-03</t>
        </is>
      </c>
      <c r="M18" s="40" t="inlineStr">
        <is>
          <t>CA-07</t>
        </is>
      </c>
      <c r="N18" s="40" t="inlineStr">
        <is>
          <t>CP-08</t>
        </is>
      </c>
      <c r="O18" s="40" t="inlineStr">
        <is>
          <t>Completa</t>
        </is>
      </c>
    </row>
    <row r="19" ht="15" customHeight="1" s="32">
      <c r="A19" s="37" t="inlineStr">
        <is>
          <t>11</t>
        </is>
      </c>
      <c r="B19" s="38" t="inlineStr">
        <is>
          <t>Asesor técnico</t>
        </is>
      </c>
      <c r="C19" s="38" t="inlineStr">
        <is>
          <t>EV-04</t>
        </is>
      </c>
      <c r="D19" s="37" t="inlineStr">
        <is>
          <t>RF-08</t>
        </is>
      </c>
      <c r="E19" s="37" t="inlineStr">
        <is>
          <t>RF</t>
        </is>
      </c>
      <c r="F19" s="37" t="inlineStr">
        <is>
          <t>Must</t>
        </is>
      </c>
      <c r="G19" s="37" t="inlineStr">
        <is>
          <t>CU-02</t>
        </is>
      </c>
      <c r="H19" s="37" t="inlineStr">
        <is>
          <t>HU-07</t>
        </is>
      </c>
      <c r="I19" s="39" t="inlineStr">
        <is>
          <t>M-05</t>
        </is>
      </c>
      <c r="J19" s="40" t="inlineStr">
        <is>
          <t>P-05</t>
        </is>
      </c>
      <c r="K19" s="39" t="inlineStr">
        <is>
          <t>Alerta: Abierta → Notificada</t>
        </is>
      </c>
      <c r="L19" s="37" t="inlineStr">
        <is>
          <t>MU-03</t>
        </is>
      </c>
      <c r="M19" s="40" t="inlineStr">
        <is>
          <t>CA-07</t>
        </is>
      </c>
      <c r="N19" s="40" t="inlineStr">
        <is>
          <t>CP-08</t>
        </is>
      </c>
      <c r="O19" s="40" t="inlineStr">
        <is>
          <t>Completa</t>
        </is>
      </c>
    </row>
    <row r="20" ht="15" customHeight="1" s="32">
      <c r="A20" s="37" t="inlineStr">
        <is>
          <t>12</t>
        </is>
      </c>
      <c r="B20" s="38" t="inlineStr">
        <is>
          <t>Técnico fitosan.</t>
        </is>
      </c>
      <c r="C20" s="38" t="inlineStr">
        <is>
          <t>EV-01, EV-02</t>
        </is>
      </c>
      <c r="D20" s="37" t="inlineStr">
        <is>
          <t>RF-09</t>
        </is>
      </c>
      <c r="E20" s="37" t="inlineStr">
        <is>
          <t>RF</t>
        </is>
      </c>
      <c r="F20" s="37" t="inlineStr">
        <is>
          <t>Should</t>
        </is>
      </c>
      <c r="G20" s="37" t="inlineStr">
        <is>
          <t>CU-01</t>
        </is>
      </c>
      <c r="H20" s="37" t="inlineStr">
        <is>
          <t>—</t>
        </is>
      </c>
      <c r="I20" s="39" t="inlineStr">
        <is>
          <t>M-05</t>
        </is>
      </c>
      <c r="J20" s="40" t="inlineStr">
        <is>
          <t>P-05</t>
        </is>
      </c>
      <c r="K20" s="39" t="inlineStr">
        <is>
          <t>Alerta: En verificación → Atendida</t>
        </is>
      </c>
      <c r="L20" s="37" t="inlineStr">
        <is>
          <t>MU-03</t>
        </is>
      </c>
      <c r="M20" s="40" t="inlineStr">
        <is>
          <t>CB-02</t>
        </is>
      </c>
      <c r="N20" s="40" t="inlineStr">
        <is>
          <t>CP-09</t>
        </is>
      </c>
      <c r="O20" s="40" t="inlineStr">
        <is>
          <t>Completa</t>
        </is>
      </c>
    </row>
    <row r="21" ht="15" customHeight="1" s="32">
      <c r="A21" s="37" t="inlineStr">
        <is>
          <t>13</t>
        </is>
      </c>
      <c r="B21" s="38" t="inlineStr">
        <is>
          <t>Asesor técnico</t>
        </is>
      </c>
      <c r="C21" s="38" t="inlineStr">
        <is>
          <t>EV-04</t>
        </is>
      </c>
      <c r="D21" s="37" t="inlineStr">
        <is>
          <t>RF-10</t>
        </is>
      </c>
      <c r="E21" s="37" t="inlineStr">
        <is>
          <t>RF</t>
        </is>
      </c>
      <c r="F21" s="37" t="inlineStr">
        <is>
          <t>Must</t>
        </is>
      </c>
      <c r="G21" s="37" t="inlineStr">
        <is>
          <t>CU-12</t>
        </is>
      </c>
      <c r="H21" s="37" t="inlineStr">
        <is>
          <t>HU-08</t>
        </is>
      </c>
      <c r="I21" s="39" t="inlineStr">
        <is>
          <t>M-01</t>
        </is>
      </c>
      <c r="J21" s="40" t="inlineStr">
        <is>
          <t>P-01</t>
        </is>
      </c>
      <c r="K21" s="39" t="inlineStr">
        <is>
          <t>No aplica</t>
        </is>
      </c>
      <c r="L21" s="37" t="inlineStr">
        <is>
          <t>MU-05</t>
        </is>
      </c>
      <c r="M21" s="40" t="inlineStr">
        <is>
          <t>CA-08</t>
        </is>
      </c>
      <c r="N21" s="40" t="inlineStr">
        <is>
          <t>CP-10</t>
        </is>
      </c>
      <c r="O21" s="40" t="inlineStr">
        <is>
          <t>Completa</t>
        </is>
      </c>
    </row>
    <row r="22" ht="15" customHeight="1" s="32">
      <c r="A22" s="37" t="inlineStr">
        <is>
          <t>14</t>
        </is>
      </c>
      <c r="B22" s="38" t="inlineStr">
        <is>
          <t>Asesor técnico</t>
        </is>
      </c>
      <c r="C22" s="38" t="inlineStr">
        <is>
          <t>EV-02</t>
        </is>
      </c>
      <c r="D22" s="37" t="inlineStr">
        <is>
          <t>RF-11</t>
        </is>
      </c>
      <c r="E22" s="37" t="inlineStr">
        <is>
          <t>RF</t>
        </is>
      </c>
      <c r="F22" s="37" t="inlineStr">
        <is>
          <t>Should</t>
        </is>
      </c>
      <c r="G22" s="37" t="inlineStr">
        <is>
          <t>CU-02</t>
        </is>
      </c>
      <c r="H22" s="37" t="inlineStr">
        <is>
          <t>—</t>
        </is>
      </c>
      <c r="I22" s="39" t="inlineStr">
        <is>
          <t>M-03</t>
        </is>
      </c>
      <c r="J22" s="40" t="inlineStr">
        <is>
          <t>P-03</t>
        </is>
      </c>
      <c r="K22" s="39" t="inlineStr">
        <is>
          <t>No aplica</t>
        </is>
      </c>
      <c r="L22" s="37" t="inlineStr">
        <is>
          <t>MU-05</t>
        </is>
      </c>
      <c r="M22" s="40" t="inlineStr">
        <is>
          <t>CB-03</t>
        </is>
      </c>
      <c r="N22" s="40" t="inlineStr">
        <is>
          <t>CP-11</t>
        </is>
      </c>
      <c r="O22" s="40" t="inlineStr">
        <is>
          <t>Completa</t>
        </is>
      </c>
    </row>
    <row r="23" ht="15" customHeight="1" s="32">
      <c r="A23" s="37" t="inlineStr">
        <is>
          <t>15</t>
        </is>
      </c>
      <c r="B23" s="38" t="inlineStr">
        <is>
          <t>Administrador</t>
        </is>
      </c>
      <c r="C23" s="38" t="inlineStr">
        <is>
          <t>EV-01, EV-02</t>
        </is>
      </c>
      <c r="D23" s="37" t="inlineStr">
        <is>
          <t>RF-12</t>
        </is>
      </c>
      <c r="E23" s="37" t="inlineStr">
        <is>
          <t>RF</t>
        </is>
      </c>
      <c r="F23" s="37" t="inlineStr">
        <is>
          <t>Must</t>
        </is>
      </c>
      <c r="G23" s="37" t="inlineStr">
        <is>
          <t>CU-16</t>
        </is>
      </c>
      <c r="H23" s="37" t="inlineStr">
        <is>
          <t>HU-09</t>
        </is>
      </c>
      <c r="I23" s="39" t="inlineStr">
        <is>
          <t>M-05</t>
        </is>
      </c>
      <c r="J23" s="40" t="inlineStr">
        <is>
          <t>P-05</t>
        </is>
      </c>
      <c r="K23" s="39" t="inlineStr">
        <is>
          <t>Alerta: (inicial) → Abierta</t>
        </is>
      </c>
      <c r="L23" s="37" t="inlineStr">
        <is>
          <t>MU-08</t>
        </is>
      </c>
      <c r="M23" s="40" t="inlineStr">
        <is>
          <t>CA-09</t>
        </is>
      </c>
      <c r="N23" s="40" t="inlineStr">
        <is>
          <t>CP-12</t>
        </is>
      </c>
      <c r="O23" s="40" t="inlineStr">
        <is>
          <t>Completa</t>
        </is>
      </c>
    </row>
    <row r="24" ht="15" customHeight="1" s="32">
      <c r="A24" s="37" t="inlineStr">
        <is>
          <t>16</t>
        </is>
      </c>
      <c r="B24" s="38" t="inlineStr">
        <is>
          <t>Trabajador</t>
        </is>
      </c>
      <c r="C24" s="38" t="inlineStr">
        <is>
          <t>EV-12</t>
        </is>
      </c>
      <c r="D24" s="37" t="inlineStr">
        <is>
          <t>RF-12</t>
        </is>
      </c>
      <c r="E24" s="37" t="inlineStr">
        <is>
          <t>RF</t>
        </is>
      </c>
      <c r="F24" s="37" t="inlineStr">
        <is>
          <t>Must</t>
        </is>
      </c>
      <c r="G24" s="37" t="inlineStr">
        <is>
          <t>CU-16</t>
        </is>
      </c>
      <c r="H24" s="37" t="inlineStr">
        <is>
          <t>HU-09</t>
        </is>
      </c>
      <c r="I24" s="39" t="inlineStr">
        <is>
          <t>M-05</t>
        </is>
      </c>
      <c r="J24" s="40" t="inlineStr">
        <is>
          <t>P-05</t>
        </is>
      </c>
      <c r="K24" s="39" t="inlineStr">
        <is>
          <t>Alerta: (inicial) → Abierta</t>
        </is>
      </c>
      <c r="L24" s="37" t="inlineStr">
        <is>
          <t>MU-08</t>
        </is>
      </c>
      <c r="M24" s="40" t="inlineStr">
        <is>
          <t>CA-09</t>
        </is>
      </c>
      <c r="N24" s="40" t="inlineStr">
        <is>
          <t>CP-12</t>
        </is>
      </c>
      <c r="O24" s="40" t="inlineStr">
        <is>
          <t>Completa</t>
        </is>
      </c>
    </row>
    <row r="25" ht="15" customHeight="1" s="32">
      <c r="A25" s="37" t="inlineStr">
        <is>
          <t>17</t>
        </is>
      </c>
      <c r="B25" s="38" t="inlineStr">
        <is>
          <t>Jefe polinización</t>
        </is>
      </c>
      <c r="C25" s="38" t="inlineStr">
        <is>
          <t>EV-03</t>
        </is>
      </c>
      <c r="D25" s="37" t="inlineStr">
        <is>
          <t>RF-13</t>
        </is>
      </c>
      <c r="E25" s="37" t="inlineStr">
        <is>
          <t>RF</t>
        </is>
      </c>
      <c r="F25" s="37" t="inlineStr">
        <is>
          <t>Must</t>
        </is>
      </c>
      <c r="G25" s="37" t="inlineStr">
        <is>
          <t>CU-03</t>
        </is>
      </c>
      <c r="H25" s="37" t="inlineStr">
        <is>
          <t>HU-10</t>
        </is>
      </c>
      <c r="I25" s="39" t="inlineStr">
        <is>
          <t>M-04</t>
        </is>
      </c>
      <c r="J25" s="40" t="inlineStr">
        <is>
          <t>P-04</t>
        </is>
      </c>
      <c r="K25" s="39" t="inlineStr">
        <is>
          <t>Racimo: Inflorescencia → Polinizado</t>
        </is>
      </c>
      <c r="L25" s="37" t="inlineStr">
        <is>
          <t>MU-04</t>
        </is>
      </c>
      <c r="M25" s="40" t="inlineStr">
        <is>
          <t>CA-10</t>
        </is>
      </c>
      <c r="N25" s="40" t="inlineStr">
        <is>
          <t>CP-13</t>
        </is>
      </c>
      <c r="O25" s="40" t="inlineStr">
        <is>
          <t>Completa</t>
        </is>
      </c>
    </row>
    <row r="26" ht="15" customHeight="1" s="32">
      <c r="A26" s="37" t="inlineStr">
        <is>
          <t>18</t>
        </is>
      </c>
      <c r="B26" s="38" t="inlineStr">
        <is>
          <t>Jefe polinización</t>
        </is>
      </c>
      <c r="C26" s="38" t="inlineStr">
        <is>
          <t>EV-03</t>
        </is>
      </c>
      <c r="D26" s="37" t="inlineStr">
        <is>
          <t>RF-14</t>
        </is>
      </c>
      <c r="E26" s="37" t="inlineStr">
        <is>
          <t>RF</t>
        </is>
      </c>
      <c r="F26" s="37" t="inlineStr">
        <is>
          <t>Must</t>
        </is>
      </c>
      <c r="G26" s="37" t="inlineStr">
        <is>
          <t>CU-03</t>
        </is>
      </c>
      <c r="H26" s="37" t="inlineStr">
        <is>
          <t>HU-11</t>
        </is>
      </c>
      <c r="I26" s="39" t="inlineStr">
        <is>
          <t>M-04</t>
        </is>
      </c>
      <c r="J26" s="40" t="inlineStr">
        <is>
          <t>P-04</t>
        </is>
      </c>
      <c r="K26" s="39" t="inlineStr">
        <is>
          <t>Racimo: Inflorescencia → Polinizado</t>
        </is>
      </c>
      <c r="L26" s="37" t="inlineStr">
        <is>
          <t>MU-06</t>
        </is>
      </c>
      <c r="M26" s="40" t="inlineStr">
        <is>
          <t>CA-11</t>
        </is>
      </c>
      <c r="N26" s="40" t="inlineStr">
        <is>
          <t>CP-14</t>
        </is>
      </c>
      <c r="O26" s="40" t="inlineStr">
        <is>
          <t>Completa</t>
        </is>
      </c>
    </row>
    <row r="27" ht="15" customHeight="1" s="32">
      <c r="A27" s="37" t="inlineStr">
        <is>
          <t>19</t>
        </is>
      </c>
      <c r="B27" s="38" t="inlineStr">
        <is>
          <t>Administrador</t>
        </is>
      </c>
      <c r="C27" s="38" t="inlineStr">
        <is>
          <t>EV-01, EV-03</t>
        </is>
      </c>
      <c r="D27" s="37" t="inlineStr">
        <is>
          <t>RF-15</t>
        </is>
      </c>
      <c r="E27" s="37" t="inlineStr">
        <is>
          <t>RF</t>
        </is>
      </c>
      <c r="F27" s="37" t="inlineStr">
        <is>
          <t>Should</t>
        </is>
      </c>
      <c r="G27" s="37" t="inlineStr">
        <is>
          <t>CU-03</t>
        </is>
      </c>
      <c r="H27" s="37" t="inlineStr">
        <is>
          <t>—</t>
        </is>
      </c>
      <c r="I27" s="39" t="inlineStr">
        <is>
          <t>M-04</t>
        </is>
      </c>
      <c r="J27" s="40" t="inlineStr">
        <is>
          <t>P-04</t>
        </is>
      </c>
      <c r="K27" s="39" t="inlineStr">
        <is>
          <t>No aplica</t>
        </is>
      </c>
      <c r="L27" s="37" t="inlineStr">
        <is>
          <t>MU-06</t>
        </is>
      </c>
      <c r="M27" s="40" t="inlineStr">
        <is>
          <t>CB-04</t>
        </is>
      </c>
      <c r="N27" s="40" t="inlineStr">
        <is>
          <t>CP-15</t>
        </is>
      </c>
      <c r="O27" s="40" t="inlineStr">
        <is>
          <t>Completa</t>
        </is>
      </c>
    </row>
    <row r="28" ht="15" customHeight="1" s="32">
      <c r="A28" s="37" t="inlineStr">
        <is>
          <t>20</t>
        </is>
      </c>
      <c r="B28" s="38" t="inlineStr">
        <is>
          <t>Administrador</t>
        </is>
      </c>
      <c r="C28" s="38" t="inlineStr">
        <is>
          <t>EV-01, EV-02</t>
        </is>
      </c>
      <c r="D28" s="37" t="inlineStr">
        <is>
          <t>RF-16</t>
        </is>
      </c>
      <c r="E28" s="37" t="inlineStr">
        <is>
          <t>RF</t>
        </is>
      </c>
      <c r="F28" s="37" t="inlineStr">
        <is>
          <t>Should</t>
        </is>
      </c>
      <c r="G28" s="37" t="inlineStr">
        <is>
          <t>CU-05</t>
        </is>
      </c>
      <c r="H28" s="37" t="inlineStr">
        <is>
          <t>—</t>
        </is>
      </c>
      <c r="I28" s="39" t="inlineStr">
        <is>
          <t>M-04</t>
        </is>
      </c>
      <c r="J28" s="40" t="inlineStr">
        <is>
          <t>P-04</t>
        </is>
      </c>
      <c r="K28" s="39" t="inlineStr">
        <is>
          <t>No aplica</t>
        </is>
      </c>
      <c r="L28" s="37" t="inlineStr">
        <is>
          <t>MU-07</t>
        </is>
      </c>
      <c r="M28" s="40" t="inlineStr">
        <is>
          <t>CB-05</t>
        </is>
      </c>
      <c r="N28" s="40" t="inlineStr">
        <is>
          <t>CP-16</t>
        </is>
      </c>
      <c r="O28" s="40" t="inlineStr">
        <is>
          <t>Completa</t>
        </is>
      </c>
    </row>
    <row r="29" ht="15" customHeight="1" s="32">
      <c r="A29" s="37" t="inlineStr">
        <is>
          <t>21</t>
        </is>
      </c>
      <c r="B29" s="38" t="inlineStr">
        <is>
          <t>Administrador</t>
        </is>
      </c>
      <c r="C29" s="38" t="inlineStr">
        <is>
          <t>EV-01, EV-02</t>
        </is>
      </c>
      <c r="D29" s="37" t="inlineStr">
        <is>
          <t>RF-17</t>
        </is>
      </c>
      <c r="E29" s="37" t="inlineStr">
        <is>
          <t>RF</t>
        </is>
      </c>
      <c r="F29" s="37" t="inlineStr">
        <is>
          <t>Should</t>
        </is>
      </c>
      <c r="G29" s="37" t="inlineStr">
        <is>
          <t>CU-05</t>
        </is>
      </c>
      <c r="H29" s="37" t="inlineStr">
        <is>
          <t>—</t>
        </is>
      </c>
      <c r="I29" s="39" t="inlineStr">
        <is>
          <t>M-03</t>
        </is>
      </c>
      <c r="J29" s="40" t="inlineStr">
        <is>
          <t>P-03</t>
        </is>
      </c>
      <c r="K29" s="39" t="inlineStr">
        <is>
          <t>No aplica</t>
        </is>
      </c>
      <c r="L29" s="37" t="inlineStr">
        <is>
          <t>MU-05</t>
        </is>
      </c>
      <c r="M29" s="40" t="inlineStr">
        <is>
          <t>CB-06</t>
        </is>
      </c>
      <c r="N29" s="40" t="inlineStr">
        <is>
          <t>CP-17</t>
        </is>
      </c>
      <c r="O29" s="40" t="inlineStr">
        <is>
          <t>Completa</t>
        </is>
      </c>
    </row>
    <row r="30" ht="15" customHeight="1" s="32">
      <c r="A30" s="37" t="inlineStr">
        <is>
          <t>22</t>
        </is>
      </c>
      <c r="B30" s="38" t="inlineStr">
        <is>
          <t>Administrador</t>
        </is>
      </c>
      <c r="C30" s="38" t="inlineStr">
        <is>
          <t>EV-01, EV-02</t>
        </is>
      </c>
      <c r="D30" s="37" t="inlineStr">
        <is>
          <t>RF-18</t>
        </is>
      </c>
      <c r="E30" s="37" t="inlineStr">
        <is>
          <t>RF</t>
        </is>
      </c>
      <c r="F30" s="37" t="inlineStr">
        <is>
          <t>Must</t>
        </is>
      </c>
      <c r="G30" s="37" t="inlineStr">
        <is>
          <t>CU-17</t>
        </is>
      </c>
      <c r="H30" s="37" t="inlineStr">
        <is>
          <t>HU-12</t>
        </is>
      </c>
      <c r="I30" s="39" t="inlineStr">
        <is>
          <t>M-07</t>
        </is>
      </c>
      <c r="J30" s="40" t="inlineStr">
        <is>
          <t>P-07</t>
        </is>
      </c>
      <c r="K30" s="39" t="inlineStr">
        <is>
          <t>Racimo: En desarrollo</t>
        </is>
      </c>
      <c r="L30" s="37" t="inlineStr">
        <is>
          <t>MU-07</t>
        </is>
      </c>
      <c r="M30" s="40" t="inlineStr">
        <is>
          <t>CA-12</t>
        </is>
      </c>
      <c r="N30" s="40" t="inlineStr">
        <is>
          <t>CP-18</t>
        </is>
      </c>
      <c r="O30" s="40" t="inlineStr">
        <is>
          <t>Completa</t>
        </is>
      </c>
    </row>
    <row r="31" ht="15" customHeight="1" s="32">
      <c r="A31" s="37" t="inlineStr">
        <is>
          <t>23</t>
        </is>
      </c>
      <c r="B31" s="38" t="inlineStr">
        <is>
          <t>Administrador</t>
        </is>
      </c>
      <c r="C31" s="38" t="inlineStr">
        <is>
          <t>EV-01, EV-11</t>
        </is>
      </c>
      <c r="D31" s="37" t="inlineStr">
        <is>
          <t>RF-19</t>
        </is>
      </c>
      <c r="E31" s="37" t="inlineStr">
        <is>
          <t>RF</t>
        </is>
      </c>
      <c r="F31" s="37" t="inlineStr">
        <is>
          <t>Must</t>
        </is>
      </c>
      <c r="G31" s="37" t="inlineStr">
        <is>
          <t>CU-05</t>
        </is>
      </c>
      <c r="H31" s="37" t="inlineStr">
        <is>
          <t>HU-13</t>
        </is>
      </c>
      <c r="I31" s="39" t="inlineStr">
        <is>
          <t>M-07</t>
        </is>
      </c>
      <c r="J31" s="40" t="inlineStr">
        <is>
          <t>P-07</t>
        </is>
      </c>
      <c r="K31" s="39" t="inlineStr">
        <is>
          <t>No aplica</t>
        </is>
      </c>
      <c r="L31" s="37" t="inlineStr">
        <is>
          <t>MU-07</t>
        </is>
      </c>
      <c r="M31" s="40" t="inlineStr">
        <is>
          <t>CA-13</t>
        </is>
      </c>
      <c r="N31" s="40" t="inlineStr">
        <is>
          <t>CP-19</t>
        </is>
      </c>
      <c r="O31" s="40" t="inlineStr">
        <is>
          <t>Completa</t>
        </is>
      </c>
    </row>
    <row r="32" ht="15" customHeight="1" s="32">
      <c r="A32" s="37" t="inlineStr">
        <is>
          <t>24</t>
        </is>
      </c>
      <c r="B32" s="38" t="inlineStr">
        <is>
          <t>Administrador</t>
        </is>
      </c>
      <c r="C32" s="38" t="inlineStr">
        <is>
          <t>EV-01</t>
        </is>
      </c>
      <c r="D32" s="37" t="inlineStr">
        <is>
          <t>RF-20</t>
        </is>
      </c>
      <c r="E32" s="37" t="inlineStr">
        <is>
          <t>RF</t>
        </is>
      </c>
      <c r="F32" s="37" t="inlineStr">
        <is>
          <t>Should</t>
        </is>
      </c>
      <c r="G32" s="37" t="inlineStr">
        <is>
          <t>CU-05</t>
        </is>
      </c>
      <c r="H32" s="37" t="inlineStr">
        <is>
          <t>—</t>
        </is>
      </c>
      <c r="I32" s="39" t="inlineStr">
        <is>
          <t>M-07</t>
        </is>
      </c>
      <c r="J32" s="40" t="inlineStr">
        <is>
          <t>P-07</t>
        </is>
      </c>
      <c r="K32" s="39" t="inlineStr">
        <is>
          <t>No aplica</t>
        </is>
      </c>
      <c r="L32" s="37" t="inlineStr">
        <is>
          <t>MU-05</t>
        </is>
      </c>
      <c r="M32" s="40" t="inlineStr">
        <is>
          <t>CB-07</t>
        </is>
      </c>
      <c r="N32" s="40" t="inlineStr">
        <is>
          <t>CP-20</t>
        </is>
      </c>
      <c r="O32" s="40" t="inlineStr">
        <is>
          <t>Completa</t>
        </is>
      </c>
    </row>
    <row r="33" ht="15" customHeight="1" s="32">
      <c r="A33" s="37" t="inlineStr">
        <is>
          <t>25</t>
        </is>
      </c>
      <c r="B33" s="38" t="inlineStr">
        <is>
          <t>Téc. extractora</t>
        </is>
      </c>
      <c r="C33" s="38" t="inlineStr">
        <is>
          <t>EV-04</t>
        </is>
      </c>
      <c r="D33" s="37" t="inlineStr">
        <is>
          <t>RF-21</t>
        </is>
      </c>
      <c r="E33" s="37" t="inlineStr">
        <is>
          <t>RF</t>
        </is>
      </c>
      <c r="F33" s="37" t="inlineStr">
        <is>
          <t>Must</t>
        </is>
      </c>
      <c r="G33" s="37" t="inlineStr">
        <is>
          <t>CU-06</t>
        </is>
      </c>
      <c r="H33" s="37" t="inlineStr">
        <is>
          <t>HU-14</t>
        </is>
      </c>
      <c r="I33" s="39" t="inlineStr">
        <is>
          <t>M-05</t>
        </is>
      </c>
      <c r="J33" s="40" t="inlineStr">
        <is>
          <t>P-05</t>
        </is>
      </c>
      <c r="K33" s="39" t="inlineStr">
        <is>
          <t>Racimo: En desarrollo → Maduro</t>
        </is>
      </c>
      <c r="L33" s="37" t="inlineStr">
        <is>
          <t>MU-03</t>
        </is>
      </c>
      <c r="M33" s="40" t="inlineStr">
        <is>
          <t>CA-14</t>
        </is>
      </c>
      <c r="N33" s="40" t="inlineStr">
        <is>
          <t>CP-21</t>
        </is>
      </c>
      <c r="O33" s="40" t="inlineStr">
        <is>
          <t>Completa</t>
        </is>
      </c>
    </row>
    <row r="34" ht="15" customHeight="1" s="32">
      <c r="A34" s="37" t="inlineStr">
        <is>
          <t>26</t>
        </is>
      </c>
      <c r="B34" s="38" t="inlineStr">
        <is>
          <t>Téc. extractora</t>
        </is>
      </c>
      <c r="C34" s="38" t="inlineStr">
        <is>
          <t>EV-08</t>
        </is>
      </c>
      <c r="D34" s="37" t="inlineStr">
        <is>
          <t>RF-21</t>
        </is>
      </c>
      <c r="E34" s="37" t="inlineStr">
        <is>
          <t>RF</t>
        </is>
      </c>
      <c r="F34" s="37" t="inlineStr">
        <is>
          <t>Must</t>
        </is>
      </c>
      <c r="G34" s="37" t="inlineStr">
        <is>
          <t>CU-06</t>
        </is>
      </c>
      <c r="H34" s="37" t="inlineStr">
        <is>
          <t>HU-14</t>
        </is>
      </c>
      <c r="I34" s="39" t="inlineStr">
        <is>
          <t>M-05</t>
        </is>
      </c>
      <c r="J34" s="40" t="inlineStr">
        <is>
          <t>P-05</t>
        </is>
      </c>
      <c r="K34" s="39" t="inlineStr">
        <is>
          <t>Racimo: En desarrollo → Maduro</t>
        </is>
      </c>
      <c r="L34" s="37" t="inlineStr">
        <is>
          <t>MU-03</t>
        </is>
      </c>
      <c r="M34" s="40" t="inlineStr">
        <is>
          <t>CA-14</t>
        </is>
      </c>
      <c r="N34" s="40" t="inlineStr">
        <is>
          <t>CP-21</t>
        </is>
      </c>
      <c r="O34" s="40" t="inlineStr">
        <is>
          <t>Completa</t>
        </is>
      </c>
    </row>
    <row r="35" ht="15" customHeight="1" s="32">
      <c r="A35" s="37" t="inlineStr">
        <is>
          <t>27</t>
        </is>
      </c>
      <c r="B35" s="38" t="inlineStr">
        <is>
          <t>Administrador</t>
        </is>
      </c>
      <c r="C35" s="38" t="inlineStr">
        <is>
          <t>EV-04, EV-08</t>
        </is>
      </c>
      <c r="D35" s="37" t="inlineStr">
        <is>
          <t>RF-22</t>
        </is>
      </c>
      <c r="E35" s="37" t="inlineStr">
        <is>
          <t>RF</t>
        </is>
      </c>
      <c r="F35" s="37" t="inlineStr">
        <is>
          <t>Must</t>
        </is>
      </c>
      <c r="G35" s="37" t="inlineStr">
        <is>
          <t>CU-06</t>
        </is>
      </c>
      <c r="H35" s="37" t="inlineStr">
        <is>
          <t>HU-15</t>
        </is>
      </c>
      <c r="I35" s="39" t="inlineStr">
        <is>
          <t>M-06</t>
        </is>
      </c>
      <c r="J35" s="40" t="inlineStr">
        <is>
          <t>P-06</t>
        </is>
      </c>
      <c r="K35" s="39" t="inlineStr">
        <is>
          <t>Racimo: Maduro → Cosechado</t>
        </is>
      </c>
      <c r="L35" s="37" t="inlineStr">
        <is>
          <t>MU-08</t>
        </is>
      </c>
      <c r="M35" s="40" t="inlineStr">
        <is>
          <t>CA-15</t>
        </is>
      </c>
      <c r="N35" s="40" t="inlineStr">
        <is>
          <t>CP-22</t>
        </is>
      </c>
      <c r="O35" s="40" t="inlineStr">
        <is>
          <t>Completa</t>
        </is>
      </c>
    </row>
    <row r="36" ht="15" customHeight="1" s="32">
      <c r="A36" s="37" t="inlineStr">
        <is>
          <t>28</t>
        </is>
      </c>
      <c r="B36" s="38" t="inlineStr">
        <is>
          <t>Administrador</t>
        </is>
      </c>
      <c r="C36" s="38" t="inlineStr">
        <is>
          <t>EV-04</t>
        </is>
      </c>
      <c r="D36" s="37" t="inlineStr">
        <is>
          <t>RF-23</t>
        </is>
      </c>
      <c r="E36" s="37" t="inlineStr">
        <is>
          <t>RF</t>
        </is>
      </c>
      <c r="F36" s="37" t="inlineStr">
        <is>
          <t>Should</t>
        </is>
      </c>
      <c r="G36" s="37" t="inlineStr">
        <is>
          <t>CU-10</t>
        </is>
      </c>
      <c r="H36" s="37" t="inlineStr">
        <is>
          <t>—</t>
        </is>
      </c>
      <c r="I36" s="39" t="inlineStr">
        <is>
          <t>M-06</t>
        </is>
      </c>
      <c r="J36" s="40" t="inlineStr">
        <is>
          <t>P-06</t>
        </is>
      </c>
      <c r="K36" s="39" t="inlineStr">
        <is>
          <t>Racimo: Despachado → Calificado</t>
        </is>
      </c>
      <c r="L36" s="37" t="inlineStr">
        <is>
          <t>MU-07</t>
        </is>
      </c>
      <c r="M36" s="40" t="inlineStr">
        <is>
          <t>CB-08</t>
        </is>
      </c>
      <c r="N36" s="40" t="inlineStr">
        <is>
          <t>CP-23</t>
        </is>
      </c>
      <c r="O36" s="40" t="inlineStr">
        <is>
          <t>Completa</t>
        </is>
      </c>
    </row>
    <row r="37" ht="15" customHeight="1" s="32">
      <c r="A37" s="37" t="inlineStr">
        <is>
          <t>29</t>
        </is>
      </c>
      <c r="B37" s="38" t="inlineStr">
        <is>
          <t>Téc. extractora</t>
        </is>
      </c>
      <c r="C37" s="38" t="inlineStr">
        <is>
          <t>EV-04, EV-08</t>
        </is>
      </c>
      <c r="D37" s="37" t="inlineStr">
        <is>
          <t>RF-24</t>
        </is>
      </c>
      <c r="E37" s="37" t="inlineStr">
        <is>
          <t>RF</t>
        </is>
      </c>
      <c r="F37" s="37" t="inlineStr">
        <is>
          <t>Should</t>
        </is>
      </c>
      <c r="G37" s="37" t="inlineStr">
        <is>
          <t>CU-10</t>
        </is>
      </c>
      <c r="H37" s="37" t="inlineStr">
        <is>
          <t>—</t>
        </is>
      </c>
      <c r="I37" s="39" t="inlineStr">
        <is>
          <t>M-06</t>
        </is>
      </c>
      <c r="J37" s="40" t="inlineStr">
        <is>
          <t>P-06</t>
        </is>
      </c>
      <c r="K37" s="39" t="inlineStr">
        <is>
          <t>Racimo: Calificado</t>
        </is>
      </c>
      <c r="L37" s="37" t="inlineStr">
        <is>
          <t>MU-07</t>
        </is>
      </c>
      <c r="M37" s="40" t="inlineStr">
        <is>
          <t>CB-09</t>
        </is>
      </c>
      <c r="N37" s="40" t="inlineStr">
        <is>
          <t>CP-24</t>
        </is>
      </c>
      <c r="O37" s="40" t="inlineStr">
        <is>
          <t>Completa</t>
        </is>
      </c>
    </row>
    <row r="38" ht="15" customHeight="1" s="32">
      <c r="A38" s="37" t="inlineStr">
        <is>
          <t>30</t>
        </is>
      </c>
      <c r="B38" s="38" t="inlineStr">
        <is>
          <t>Téc. extractora</t>
        </is>
      </c>
      <c r="C38" s="38" t="inlineStr">
        <is>
          <t>EV-04</t>
        </is>
      </c>
      <c r="D38" s="37" t="inlineStr">
        <is>
          <t>RF-25</t>
        </is>
      </c>
      <c r="E38" s="37" t="inlineStr">
        <is>
          <t>RF</t>
        </is>
      </c>
      <c r="F38" s="37" t="inlineStr">
        <is>
          <t>Should</t>
        </is>
      </c>
      <c r="G38" s="37" t="inlineStr">
        <is>
          <t>CU-10</t>
        </is>
      </c>
      <c r="H38" s="37" t="inlineStr">
        <is>
          <t>—</t>
        </is>
      </c>
      <c r="I38" s="39" t="inlineStr">
        <is>
          <t>M-06</t>
        </is>
      </c>
      <c r="J38" s="40" t="inlineStr">
        <is>
          <t>P-06</t>
        </is>
      </c>
      <c r="K38" s="39" t="inlineStr">
        <is>
          <t>Racimo: Cosechado → Degradado</t>
        </is>
      </c>
      <c r="L38" s="37" t="inlineStr">
        <is>
          <t>MU-07</t>
        </is>
      </c>
      <c r="M38" s="40" t="inlineStr">
        <is>
          <t>CB-10</t>
        </is>
      </c>
      <c r="N38" s="40" t="inlineStr">
        <is>
          <t>CP-25</t>
        </is>
      </c>
      <c r="O38" s="40" t="inlineStr">
        <is>
          <t>Completa</t>
        </is>
      </c>
    </row>
    <row r="39" ht="15" customHeight="1" s="32">
      <c r="A39" s="37" t="inlineStr">
        <is>
          <t>31</t>
        </is>
      </c>
      <c r="B39" s="38" t="inlineStr">
        <is>
          <t>Administrador</t>
        </is>
      </c>
      <c r="C39" s="38" t="inlineStr">
        <is>
          <t>EV-11</t>
        </is>
      </c>
      <c r="D39" s="37" t="inlineStr">
        <is>
          <t>RF-26</t>
        </is>
      </c>
      <c r="E39" s="37" t="inlineStr">
        <is>
          <t>RF</t>
        </is>
      </c>
      <c r="F39" s="37" t="inlineStr">
        <is>
          <t>Must</t>
        </is>
      </c>
      <c r="G39" s="37" t="inlineStr">
        <is>
          <t>CU-07</t>
        </is>
      </c>
      <c r="H39" s="37" t="inlineStr">
        <is>
          <t>HU-16</t>
        </is>
      </c>
      <c r="I39" s="39" t="inlineStr">
        <is>
          <t>M-02</t>
        </is>
      </c>
      <c r="J39" s="40" t="inlineStr">
        <is>
          <t>P-02</t>
        </is>
      </c>
      <c r="K39" s="39" t="inlineStr">
        <is>
          <t>No aplica</t>
        </is>
      </c>
      <c r="L39" s="37" t="inlineStr">
        <is>
          <t>MU-02</t>
        </is>
      </c>
      <c r="M39" s="40" t="inlineStr">
        <is>
          <t>CA-16</t>
        </is>
      </c>
      <c r="N39" s="40" t="inlineStr">
        <is>
          <t>CP-26</t>
        </is>
      </c>
      <c r="O39" s="40" t="inlineStr">
        <is>
          <t>Completa</t>
        </is>
      </c>
    </row>
    <row r="40" ht="15" customHeight="1" s="32">
      <c r="A40" s="37" t="inlineStr">
        <is>
          <t>32</t>
        </is>
      </c>
      <c r="B40" s="38" t="inlineStr">
        <is>
          <t>Administrador</t>
        </is>
      </c>
      <c r="C40" s="38" t="inlineStr">
        <is>
          <t>EV-11</t>
        </is>
      </c>
      <c r="D40" s="37" t="inlineStr">
        <is>
          <t>RF-27</t>
        </is>
      </c>
      <c r="E40" s="37" t="inlineStr">
        <is>
          <t>RF</t>
        </is>
      </c>
      <c r="F40" s="37" t="inlineStr">
        <is>
          <t>Should</t>
        </is>
      </c>
      <c r="G40" s="37" t="inlineStr">
        <is>
          <t>CU-07</t>
        </is>
      </c>
      <c r="H40" s="37" t="inlineStr">
        <is>
          <t>—</t>
        </is>
      </c>
      <c r="I40" s="39" t="inlineStr">
        <is>
          <t>M-02</t>
        </is>
      </c>
      <c r="J40" s="40" t="inlineStr">
        <is>
          <t>P-02</t>
        </is>
      </c>
      <c r="K40" s="39" t="inlineStr">
        <is>
          <t>No aplica</t>
        </is>
      </c>
      <c r="L40" s="37" t="inlineStr">
        <is>
          <t>MU-02</t>
        </is>
      </c>
      <c r="M40" s="40" t="inlineStr">
        <is>
          <t>CB-11</t>
        </is>
      </c>
      <c r="N40" s="40" t="inlineStr">
        <is>
          <t>CP-27</t>
        </is>
      </c>
      <c r="O40" s="40" t="inlineStr">
        <is>
          <t>Completa</t>
        </is>
      </c>
    </row>
    <row r="41" ht="15" customHeight="1" s="32">
      <c r="A41" s="37" t="inlineStr">
        <is>
          <t>33</t>
        </is>
      </c>
      <c r="B41" s="38" t="inlineStr">
        <is>
          <t>Trabajador</t>
        </is>
      </c>
      <c r="C41" s="38" t="inlineStr">
        <is>
          <t>EV-05, EV-11</t>
        </is>
      </c>
      <c r="D41" s="37" t="inlineStr">
        <is>
          <t>RF-28</t>
        </is>
      </c>
      <c r="E41" s="37" t="inlineStr">
        <is>
          <t>RF</t>
        </is>
      </c>
      <c r="F41" s="37" t="inlineStr">
        <is>
          <t>Must</t>
        </is>
      </c>
      <c r="G41" s="37" t="inlineStr">
        <is>
          <t>CU-04</t>
        </is>
      </c>
      <c r="H41" s="37" t="inlineStr">
        <is>
          <t>HU-17</t>
        </is>
      </c>
      <c r="I41" s="39" t="inlineStr">
        <is>
          <t>M-03</t>
        </is>
      </c>
      <c r="J41" s="40" t="inlineStr">
        <is>
          <t>P-03</t>
        </is>
      </c>
      <c r="K41" s="39" t="inlineStr">
        <is>
          <t>No aplica</t>
        </is>
      </c>
      <c r="L41" s="37" t="inlineStr">
        <is>
          <t>MU-04</t>
        </is>
      </c>
      <c r="M41" s="40" t="inlineStr">
        <is>
          <t>CA-17</t>
        </is>
      </c>
      <c r="N41" s="40" t="inlineStr">
        <is>
          <t>CP-28</t>
        </is>
      </c>
      <c r="O41" s="40" t="inlineStr">
        <is>
          <t>Completa</t>
        </is>
      </c>
    </row>
    <row r="42" ht="15" customHeight="1" s="32">
      <c r="A42" s="37" t="inlineStr">
        <is>
          <t>34</t>
        </is>
      </c>
      <c r="B42" s="38" t="inlineStr">
        <is>
          <t>Trabajador</t>
        </is>
      </c>
      <c r="C42" s="38" t="inlineStr">
        <is>
          <t>EV-06, EV-07</t>
        </is>
      </c>
      <c r="D42" s="37" t="inlineStr">
        <is>
          <t>RF-29</t>
        </is>
      </c>
      <c r="E42" s="37" t="inlineStr">
        <is>
          <t>RF</t>
        </is>
      </c>
      <c r="F42" s="37" t="inlineStr">
        <is>
          <t>Should</t>
        </is>
      </c>
      <c r="G42" s="37" t="inlineStr">
        <is>
          <t>CU-08</t>
        </is>
      </c>
      <c r="H42" s="37" t="inlineStr">
        <is>
          <t>—</t>
        </is>
      </c>
      <c r="I42" s="39" t="inlineStr">
        <is>
          <t>M-03</t>
        </is>
      </c>
      <c r="J42" s="40" t="inlineStr">
        <is>
          <t>P-03</t>
        </is>
      </c>
      <c r="K42" s="39" t="inlineStr">
        <is>
          <t>No aplica</t>
        </is>
      </c>
      <c r="L42" s="37" t="inlineStr">
        <is>
          <t>MU-02</t>
        </is>
      </c>
      <c r="M42" s="40" t="inlineStr">
        <is>
          <t>CB-12</t>
        </is>
      </c>
      <c r="N42" s="40" t="inlineStr">
        <is>
          <t>CP-29</t>
        </is>
      </c>
      <c r="O42" s="40" t="inlineStr">
        <is>
          <t>Completa</t>
        </is>
      </c>
    </row>
    <row r="43" ht="15" customHeight="1" s="32">
      <c r="A43" s="37" t="inlineStr">
        <is>
          <t>35</t>
        </is>
      </c>
      <c r="B43" s="38" t="inlineStr">
        <is>
          <t>Asistente admin.</t>
        </is>
      </c>
      <c r="C43" s="38" t="inlineStr">
        <is>
          <t>EV-07</t>
        </is>
      </c>
      <c r="D43" s="37" t="inlineStr">
        <is>
          <t>RF-30</t>
        </is>
      </c>
      <c r="E43" s="37" t="inlineStr">
        <is>
          <t>RF</t>
        </is>
      </c>
      <c r="F43" s="37" t="inlineStr">
        <is>
          <t>Must</t>
        </is>
      </c>
      <c r="G43" s="37" t="inlineStr">
        <is>
          <t>CU-09</t>
        </is>
      </c>
      <c r="H43" s="37" t="inlineStr">
        <is>
          <t>HU-18</t>
        </is>
      </c>
      <c r="I43" s="39" t="inlineStr">
        <is>
          <t>M-03</t>
        </is>
      </c>
      <c r="J43" s="40" t="inlineStr">
        <is>
          <t>P-03</t>
        </is>
      </c>
      <c r="K43" s="39" t="inlineStr">
        <is>
          <t>Alerta: Abierta → En verificación</t>
        </is>
      </c>
      <c r="L43" s="37" t="inlineStr">
        <is>
          <t>MU-06</t>
        </is>
      </c>
      <c r="M43" s="40" t="inlineStr">
        <is>
          <t>CA-18</t>
        </is>
      </c>
      <c r="N43" s="40" t="inlineStr">
        <is>
          <t>CP-30</t>
        </is>
      </c>
      <c r="O43" s="40" t="inlineStr">
        <is>
          <t>Completa</t>
        </is>
      </c>
    </row>
    <row r="44" ht="15" customHeight="1" s="32">
      <c r="A44" s="37" t="inlineStr">
        <is>
          <t>36</t>
        </is>
      </c>
      <c r="B44" s="38" t="inlineStr">
        <is>
          <t>Asistente admin.</t>
        </is>
      </c>
      <c r="C44" s="38" t="inlineStr">
        <is>
          <t>EV-07</t>
        </is>
      </c>
      <c r="D44" s="37" t="inlineStr">
        <is>
          <t>RF-31</t>
        </is>
      </c>
      <c r="E44" s="37" t="inlineStr">
        <is>
          <t>RF</t>
        </is>
      </c>
      <c r="F44" s="37" t="inlineStr">
        <is>
          <t>Should</t>
        </is>
      </c>
      <c r="G44" s="37" t="inlineStr">
        <is>
          <t>CU-09</t>
        </is>
      </c>
      <c r="H44" s="37" t="inlineStr">
        <is>
          <t>—</t>
        </is>
      </c>
      <c r="I44" s="39" t="inlineStr">
        <is>
          <t>M-03</t>
        </is>
      </c>
      <c r="J44" s="40" t="inlineStr">
        <is>
          <t>P-03</t>
        </is>
      </c>
      <c r="K44" s="39" t="inlineStr">
        <is>
          <t>Alerta: En verificación → Atendida</t>
        </is>
      </c>
      <c r="L44" s="37" t="inlineStr">
        <is>
          <t>MU-08</t>
        </is>
      </c>
      <c r="M44" s="40" t="inlineStr">
        <is>
          <t>CB-13</t>
        </is>
      </c>
      <c r="N44" s="40" t="inlineStr">
        <is>
          <t>CP-31</t>
        </is>
      </c>
      <c r="O44" s="40" t="inlineStr">
        <is>
          <t>Completa</t>
        </is>
      </c>
    </row>
    <row r="45" ht="15" customHeight="1" s="32">
      <c r="A45" s="37" t="inlineStr">
        <is>
          <t>37</t>
        </is>
      </c>
      <c r="B45" s="38" t="inlineStr">
        <is>
          <t>Téc. extractora</t>
        </is>
      </c>
      <c r="C45" s="38" t="inlineStr">
        <is>
          <t>EV-04</t>
        </is>
      </c>
      <c r="D45" s="37" t="inlineStr">
        <is>
          <t>RF-32</t>
        </is>
      </c>
      <c r="E45" s="37" t="inlineStr">
        <is>
          <t>RF</t>
        </is>
      </c>
      <c r="F45" s="37" t="inlineStr">
        <is>
          <t>Should</t>
        </is>
      </c>
      <c r="G45" s="37" t="inlineStr">
        <is>
          <t>CU-17</t>
        </is>
      </c>
      <c r="H45" s="37" t="inlineStr">
        <is>
          <t>—</t>
        </is>
      </c>
      <c r="I45" s="39" t="inlineStr">
        <is>
          <t>M-07</t>
        </is>
      </c>
      <c r="J45" s="40" t="inlineStr">
        <is>
          <t>P-07</t>
        </is>
      </c>
      <c r="K45" s="39" t="inlineStr">
        <is>
          <t>No aplica</t>
        </is>
      </c>
      <c r="L45" s="37" t="inlineStr">
        <is>
          <t>MU-07</t>
        </is>
      </c>
      <c r="M45" s="40" t="inlineStr">
        <is>
          <t>CB-14</t>
        </is>
      </c>
      <c r="N45" s="40" t="inlineStr">
        <is>
          <t>CP-32</t>
        </is>
      </c>
      <c r="O45" s="40" t="inlineStr">
        <is>
          <t>Completa</t>
        </is>
      </c>
    </row>
    <row r="46" ht="15" customHeight="1" s="32">
      <c r="A46" s="37" t="inlineStr">
        <is>
          <t>38</t>
        </is>
      </c>
      <c r="B46" s="38" t="inlineStr">
        <is>
          <t>Téc. extractora</t>
        </is>
      </c>
      <c r="C46" s="38" t="inlineStr">
        <is>
          <t>EV-04</t>
        </is>
      </c>
      <c r="D46" s="37" t="inlineStr">
        <is>
          <t>RF-33</t>
        </is>
      </c>
      <c r="E46" s="37" t="inlineStr">
        <is>
          <t>RF</t>
        </is>
      </c>
      <c r="F46" s="37" t="inlineStr">
        <is>
          <t>Could</t>
        </is>
      </c>
      <c r="G46" s="37" t="inlineStr">
        <is>
          <t>CU-10</t>
        </is>
      </c>
      <c r="H46" s="37" t="inlineStr">
        <is>
          <t>—</t>
        </is>
      </c>
      <c r="I46" s="39" t="inlineStr">
        <is>
          <t>M-06</t>
        </is>
      </c>
      <c r="J46" s="40" t="inlineStr">
        <is>
          <t>P-06</t>
        </is>
      </c>
      <c r="K46" s="39" t="inlineStr">
        <is>
          <t>Racimo: Cosechado → Despachado</t>
        </is>
      </c>
      <c r="L46" s="37" t="inlineStr">
        <is>
          <t>MU-07</t>
        </is>
      </c>
      <c r="M46" s="40" t="inlineStr">
        <is>
          <t>CB-15</t>
        </is>
      </c>
      <c r="N46" s="40" t="inlineStr">
        <is>
          <t>CP-33</t>
        </is>
      </c>
      <c r="O46" s="40" t="inlineStr">
        <is>
          <t>Completa</t>
        </is>
      </c>
    </row>
    <row r="47" ht="15" customHeight="1" s="32">
      <c r="A47" s="37" t="inlineStr">
        <is>
          <t>39</t>
        </is>
      </c>
      <c r="B47" s="38" t="inlineStr">
        <is>
          <t>Administrador</t>
        </is>
      </c>
      <c r="C47" s="38" t="inlineStr">
        <is>
          <t>EV-11</t>
        </is>
      </c>
      <c r="D47" s="37" t="inlineStr">
        <is>
          <t>RF-34</t>
        </is>
      </c>
      <c r="E47" s="37" t="inlineStr">
        <is>
          <t>RF</t>
        </is>
      </c>
      <c r="F47" s="37" t="inlineStr">
        <is>
          <t>Could</t>
        </is>
      </c>
      <c r="G47" s="37" t="inlineStr">
        <is>
          <t>CU-07</t>
        </is>
      </c>
      <c r="H47" s="37" t="inlineStr">
        <is>
          <t>—</t>
        </is>
      </c>
      <c r="I47" s="39" t="inlineStr">
        <is>
          <t>M-02</t>
        </is>
      </c>
      <c r="J47" s="40" t="inlineStr">
        <is>
          <t>P-02</t>
        </is>
      </c>
      <c r="K47" s="39" t="inlineStr">
        <is>
          <t>No aplica</t>
        </is>
      </c>
      <c r="L47" s="37" t="inlineStr">
        <is>
          <t>MU-02</t>
        </is>
      </c>
      <c r="M47" s="40" t="inlineStr">
        <is>
          <t>CB-16</t>
        </is>
      </c>
      <c r="N47" s="40" t="inlineStr">
        <is>
          <t>CP-34</t>
        </is>
      </c>
      <c r="O47" s="40" t="inlineStr">
        <is>
          <t>Completa</t>
        </is>
      </c>
    </row>
    <row r="48" ht="15" customHeight="1" s="32">
      <c r="A48" s="37" t="inlineStr">
        <is>
          <t>40</t>
        </is>
      </c>
      <c r="B48" s="38" t="inlineStr">
        <is>
          <t>Jefe de campo</t>
        </is>
      </c>
      <c r="C48" s="38" t="inlineStr">
        <is>
          <t>EV-12, EV-05</t>
        </is>
      </c>
      <c r="D48" s="37" t="inlineStr">
        <is>
          <t>RF-35</t>
        </is>
      </c>
      <c r="E48" s="37" t="inlineStr">
        <is>
          <t>RF</t>
        </is>
      </c>
      <c r="F48" s="37" t="inlineStr">
        <is>
          <t>Must</t>
        </is>
      </c>
      <c r="G48" s="37" t="inlineStr">
        <is>
          <t>CU-04</t>
        </is>
      </c>
      <c r="H48" s="37" t="inlineStr">
        <is>
          <t>HU-19</t>
        </is>
      </c>
      <c r="I48" s="39" t="inlineStr">
        <is>
          <t>M-02</t>
        </is>
      </c>
      <c r="J48" s="40" t="inlineStr">
        <is>
          <t>P-02</t>
        </is>
      </c>
      <c r="K48" s="39" t="inlineStr">
        <is>
          <t>No aplica</t>
        </is>
      </c>
      <c r="L48" s="37" t="inlineStr">
        <is>
          <t>MU-04</t>
        </is>
      </c>
      <c r="M48" s="40" t="inlineStr">
        <is>
          <t>CA-19</t>
        </is>
      </c>
      <c r="N48" s="40" t="inlineStr">
        <is>
          <t>CP-35</t>
        </is>
      </c>
      <c r="O48" s="40" t="inlineStr">
        <is>
          <t>Completa</t>
        </is>
      </c>
    </row>
    <row r="49" ht="15" customHeight="1" s="32">
      <c r="A49" s="37" t="inlineStr">
        <is>
          <t>41</t>
        </is>
      </c>
      <c r="B49" s="38" t="inlineStr">
        <is>
          <t>Téc. extractora</t>
        </is>
      </c>
      <c r="C49" s="38" t="inlineStr">
        <is>
          <t>EV-04</t>
        </is>
      </c>
      <c r="D49" s="37" t="inlineStr">
        <is>
          <t>RNF-01</t>
        </is>
      </c>
      <c r="E49" s="37" t="inlineStr">
        <is>
          <t>RNF</t>
        </is>
      </c>
      <c r="F49" s="37" t="inlineStr">
        <is>
          <t>Must</t>
        </is>
      </c>
      <c r="G49" s="37" t="inlineStr">
        <is>
          <t>CU-06</t>
        </is>
      </c>
      <c r="H49" s="37" t="inlineStr">
        <is>
          <t>HU-14</t>
        </is>
      </c>
      <c r="I49" s="39" t="inlineStr">
        <is>
          <t>M-05</t>
        </is>
      </c>
      <c r="J49" s="40" t="inlineStr">
        <is>
          <t>P-05 (vía CU)</t>
        </is>
      </c>
      <c r="K49" s="39" t="inlineStr">
        <is>
          <t>No aplica</t>
        </is>
      </c>
      <c r="L49" s="37" t="inlineStr">
        <is>
          <t>MU-03</t>
        </is>
      </c>
      <c r="M49" s="40" t="inlineStr">
        <is>
          <t>CB-19</t>
        </is>
      </c>
      <c r="N49" s="40" t="inlineStr">
        <is>
          <t>CP-36</t>
        </is>
      </c>
      <c r="O49" s="40" t="inlineStr">
        <is>
          <t>Completa</t>
        </is>
      </c>
    </row>
    <row r="50" ht="15" customHeight="1" s="32">
      <c r="A50" s="37" t="inlineStr">
        <is>
          <t>42</t>
        </is>
      </c>
      <c r="B50" s="38" t="inlineStr">
        <is>
          <t>Trabajador</t>
        </is>
      </c>
      <c r="C50" s="38" t="inlineStr">
        <is>
          <t>EV-07, EV-10</t>
        </is>
      </c>
      <c r="D50" s="37" t="inlineStr">
        <is>
          <t>RNF-11</t>
        </is>
      </c>
      <c r="E50" s="37" t="inlineStr">
        <is>
          <t>RNF</t>
        </is>
      </c>
      <c r="F50" s="37" t="inlineStr">
        <is>
          <t>Must</t>
        </is>
      </c>
      <c r="G50" s="37" t="inlineStr">
        <is>
          <t>CU-04</t>
        </is>
      </c>
      <c r="H50" s="37" t="inlineStr">
        <is>
          <t>HU-04</t>
        </is>
      </c>
      <c r="I50" s="39" t="inlineStr">
        <is>
          <t>M-03</t>
        </is>
      </c>
      <c r="J50" s="40" t="inlineStr">
        <is>
          <t>P-03 (vía CU)</t>
        </is>
      </c>
      <c r="K50" s="39" t="inlineStr">
        <is>
          <t>No aplica</t>
        </is>
      </c>
      <c r="L50" s="37" t="inlineStr">
        <is>
          <t>MU-04</t>
        </is>
      </c>
      <c r="M50" s="40" t="inlineStr">
        <is>
          <t>CB-29</t>
        </is>
      </c>
      <c r="N50" s="40" t="inlineStr">
        <is>
          <t>CP-37</t>
        </is>
      </c>
      <c r="O50" s="40" t="inlineStr">
        <is>
          <t>Completa</t>
        </is>
      </c>
    </row>
    <row r="51" ht="15" customHeight="1" s="32">
      <c r="A51" s="37" t="inlineStr">
        <is>
          <t>43</t>
        </is>
      </c>
      <c r="B51" s="38" t="inlineStr">
        <is>
          <t>Jefe polinización</t>
        </is>
      </c>
      <c r="C51" s="38" t="inlineStr">
        <is>
          <t>EV-03</t>
        </is>
      </c>
      <c r="D51" s="37" t="inlineStr">
        <is>
          <t>RNF-05</t>
        </is>
      </c>
      <c r="E51" s="37" t="inlineStr">
        <is>
          <t>RNF</t>
        </is>
      </c>
      <c r="F51" s="37" t="inlineStr">
        <is>
          <t>Should</t>
        </is>
      </c>
      <c r="G51" s="37" t="inlineStr">
        <is>
          <t>CU-03</t>
        </is>
      </c>
      <c r="H51" s="37" t="inlineStr">
        <is>
          <t>HU-11</t>
        </is>
      </c>
      <c r="I51" s="39" t="inlineStr">
        <is>
          <t>M-04</t>
        </is>
      </c>
      <c r="J51" s="40" t="inlineStr">
        <is>
          <t>P-04 (vía CU)</t>
        </is>
      </c>
      <c r="K51" s="39" t="inlineStr">
        <is>
          <t>No aplica</t>
        </is>
      </c>
      <c r="L51" s="37" t="inlineStr">
        <is>
          <t>MU-06</t>
        </is>
      </c>
      <c r="M51" s="40" t="inlineStr">
        <is>
          <t>CB-23</t>
        </is>
      </c>
      <c r="N51" s="40" t="inlineStr">
        <is>
          <t>CP-38</t>
        </is>
      </c>
      <c r="O51" s="40" t="inlineStr">
        <is>
          <t>Completa</t>
        </is>
      </c>
    </row>
    <row r="52" ht="15" customHeight="1" s="32">
      <c r="A52" s="37" t="inlineStr">
        <is>
          <t>44</t>
        </is>
      </c>
      <c r="B52" s="38" t="inlineStr">
        <is>
          <t>Trabajador</t>
        </is>
      </c>
      <c r="C52" s="38" t="inlineStr">
        <is>
          <t>EV-12</t>
        </is>
      </c>
      <c r="D52" s="37" t="inlineStr">
        <is>
          <t>RNF-08</t>
        </is>
      </c>
      <c r="E52" s="37" t="inlineStr">
        <is>
          <t>RNF</t>
        </is>
      </c>
      <c r="F52" s="37" t="inlineStr">
        <is>
          <t>Must</t>
        </is>
      </c>
      <c r="G52" s="37" t="inlineStr">
        <is>
          <t>CU-04</t>
        </is>
      </c>
      <c r="H52" s="37" t="inlineStr">
        <is>
          <t>HU-04</t>
        </is>
      </c>
      <c r="I52" s="39" t="inlineStr">
        <is>
          <t>M-03</t>
        </is>
      </c>
      <c r="J52" s="40" t="inlineStr">
        <is>
          <t>P-03 (vía CU)</t>
        </is>
      </c>
      <c r="K52" s="39" t="inlineStr">
        <is>
          <t>No aplica</t>
        </is>
      </c>
      <c r="L52" s="37" t="inlineStr">
        <is>
          <t>MU-04</t>
        </is>
      </c>
      <c r="M52" s="40" t="inlineStr">
        <is>
          <t>CB-26</t>
        </is>
      </c>
      <c r="N52" s="40" t="inlineStr">
        <is>
          <t>CP-39</t>
        </is>
      </c>
      <c r="O52" s="40" t="inlineStr">
        <is>
          <t>Completa</t>
        </is>
      </c>
    </row>
    <row r="53" ht="15" customHeight="1" s="32">
      <c r="A53" s="37" t="inlineStr">
        <is>
          <t>45</t>
        </is>
      </c>
      <c r="B53" s="38" t="inlineStr">
        <is>
          <t>Trabajador</t>
        </is>
      </c>
      <c r="C53" s="38" t="inlineStr">
        <is>
          <t>EV-12</t>
        </is>
      </c>
      <c r="D53" s="37" t="inlineStr">
        <is>
          <t>RNF-14</t>
        </is>
      </c>
      <c r="E53" s="37" t="inlineStr">
        <is>
          <t>RNF</t>
        </is>
      </c>
      <c r="F53" s="37" t="inlineStr">
        <is>
          <t>Must</t>
        </is>
      </c>
      <c r="G53" s="37" t="inlineStr">
        <is>
          <t>CU-03</t>
        </is>
      </c>
      <c r="H53" s="37" t="inlineStr">
        <is>
          <t>HU-11</t>
        </is>
      </c>
      <c r="I53" s="39" t="inlineStr">
        <is>
          <t>M-04</t>
        </is>
      </c>
      <c r="J53" s="40" t="inlineStr">
        <is>
          <t>P-04 (vía CU)</t>
        </is>
      </c>
      <c r="K53" s="39" t="inlineStr">
        <is>
          <t>No aplica</t>
        </is>
      </c>
      <c r="L53" s="37" t="inlineStr">
        <is>
          <t>MU-06</t>
        </is>
      </c>
      <c r="M53" s="40" t="inlineStr">
        <is>
          <t>CB-32</t>
        </is>
      </c>
      <c r="N53" s="40" t="inlineStr">
        <is>
          <t>CP-40</t>
        </is>
      </c>
      <c r="O53" s="40" t="inlineStr">
        <is>
          <t>Completa</t>
        </is>
      </c>
    </row>
    <row r="54" ht="15" customHeight="1" s="32">
      <c r="A54" s="37" t="inlineStr">
        <is>
          <t>46</t>
        </is>
      </c>
      <c r="B54" s="38" t="inlineStr">
        <is>
          <t>Asistente admin.</t>
        </is>
      </c>
      <c r="C54" s="38" t="inlineStr">
        <is>
          <t>EV-01, EV-07</t>
        </is>
      </c>
      <c r="D54" s="37" t="inlineStr">
        <is>
          <t>RNF-16</t>
        </is>
      </c>
      <c r="E54" s="37" t="inlineStr">
        <is>
          <t>RNF</t>
        </is>
      </c>
      <c r="F54" s="37" t="inlineStr">
        <is>
          <t>Must</t>
        </is>
      </c>
      <c r="G54" s="37" t="inlineStr">
        <is>
          <t>CU-18</t>
        </is>
      </c>
      <c r="H54" s="37" t="inlineStr">
        <is>
          <t>HU-06</t>
        </is>
      </c>
      <c r="I54" s="39" t="inlineStr">
        <is>
          <t>M-05</t>
        </is>
      </c>
      <c r="J54" s="40" t="inlineStr">
        <is>
          <t>P-05 (vía CU)</t>
        </is>
      </c>
      <c r="K54" s="39" t="inlineStr">
        <is>
          <t>No aplica</t>
        </is>
      </c>
      <c r="L54" s="37" t="inlineStr">
        <is>
          <t>MU-03</t>
        </is>
      </c>
      <c r="M54" s="40" t="inlineStr">
        <is>
          <t>CB-34</t>
        </is>
      </c>
      <c r="N54" s="40" t="inlineStr">
        <is>
          <t>CP-41</t>
        </is>
      </c>
      <c r="O54" s="40" t="inlineStr">
        <is>
          <t>Completa</t>
        </is>
      </c>
    </row>
    <row r="55" ht="21.75" customHeight="1" s="32">
      <c r="A55" s="37" t="inlineStr">
        <is>
          <t>47</t>
        </is>
      </c>
      <c r="B55" s="38" t="inlineStr">
        <is>
          <t>Trabajador</t>
        </is>
      </c>
      <c r="C55" s="38" t="inlineStr">
        <is>
          <t>EV-12</t>
        </is>
      </c>
      <c r="D55" s="37" t="inlineStr">
        <is>
          <t>RD-10</t>
        </is>
      </c>
      <c r="E55" s="37" t="inlineStr">
        <is>
          <t>RD</t>
        </is>
      </c>
      <c r="F55" s="37" t="inlineStr">
        <is>
          <t>Must</t>
        </is>
      </c>
      <c r="G55" s="37" t="inlineStr">
        <is>
          <t>CU-04</t>
        </is>
      </c>
      <c r="H55" s="37" t="inlineStr">
        <is>
          <t>HU-19</t>
        </is>
      </c>
      <c r="I55" s="39" t="inlineStr">
        <is>
          <t>M-03</t>
        </is>
      </c>
      <c r="J55" s="40" t="inlineStr">
        <is>
          <t>P-03 (vía CU)</t>
        </is>
      </c>
      <c r="K55" s="39" t="inlineStr">
        <is>
          <t>No aplica</t>
        </is>
      </c>
      <c r="L55" s="37" t="inlineStr">
        <is>
          <t>MU-04</t>
        </is>
      </c>
      <c r="M55" s="40" t="inlineStr">
        <is>
          <t>No aplica (restricción)</t>
        </is>
      </c>
      <c r="N55" s="40" t="inlineStr">
        <is>
          <t>CP-42</t>
        </is>
      </c>
      <c r="O55" s="40" t="inlineStr">
        <is>
          <t>Completa</t>
        </is>
      </c>
    </row>
    <row r="56" ht="21.75" customHeight="1" s="32">
      <c r="A56" s="37" t="inlineStr">
        <is>
          <t>48</t>
        </is>
      </c>
      <c r="B56" s="38" t="inlineStr">
        <is>
          <t>Téc. extractora</t>
        </is>
      </c>
      <c r="C56" s="38" t="inlineStr">
        <is>
          <t>EV-08</t>
        </is>
      </c>
      <c r="D56" s="37" t="inlineStr">
        <is>
          <t>RD-07</t>
        </is>
      </c>
      <c r="E56" s="37" t="inlineStr">
        <is>
          <t>RD</t>
        </is>
      </c>
      <c r="F56" s="37" t="inlineStr">
        <is>
          <t>Must</t>
        </is>
      </c>
      <c r="G56" s="37" t="inlineStr">
        <is>
          <t>CU-06</t>
        </is>
      </c>
      <c r="H56" s="37" t="inlineStr">
        <is>
          <t>HU-14</t>
        </is>
      </c>
      <c r="I56" s="39" t="inlineStr">
        <is>
          <t>M-05</t>
        </is>
      </c>
      <c r="J56" s="40" t="inlineStr">
        <is>
          <t>P-05 (vía CU)</t>
        </is>
      </c>
      <c r="K56" s="39" t="inlineStr">
        <is>
          <t>No aplica</t>
        </is>
      </c>
      <c r="L56" s="37" t="inlineStr">
        <is>
          <t>MU-03</t>
        </is>
      </c>
      <c r="M56" s="40" t="inlineStr">
        <is>
          <t>No aplica (restricción)</t>
        </is>
      </c>
      <c r="N56" s="40" t="inlineStr">
        <is>
          <t>CP-43</t>
        </is>
      </c>
      <c r="O56" s="40" t="inlineStr">
        <is>
          <t>Completa</t>
        </is>
      </c>
    </row>
    <row r="57" ht="15" customHeight="1" s="32">
      <c r="A57" s="37" t="inlineStr">
        <is>
          <t>49</t>
        </is>
      </c>
      <c r="B57" s="38" t="inlineStr">
        <is>
          <t>Administrador</t>
        </is>
      </c>
      <c r="C57" s="38" t="inlineStr">
        <is>
          <t>EV-13</t>
        </is>
      </c>
      <c r="D57" s="37" t="inlineStr">
        <is>
          <t>RF-36</t>
        </is>
      </c>
      <c r="E57" s="37" t="inlineStr">
        <is>
          <t>RF</t>
        </is>
      </c>
      <c r="F57" s="37" t="inlineStr">
        <is>
          <t>Must</t>
        </is>
      </c>
      <c r="G57" s="37" t="inlineStr">
        <is>
          <t>CU-08</t>
        </is>
      </c>
      <c r="H57" s="37" t="inlineStr">
        <is>
          <t>HU-20</t>
        </is>
      </c>
      <c r="I57" s="39" t="inlineStr">
        <is>
          <t>M-02</t>
        </is>
      </c>
      <c r="J57" s="40" t="inlineStr">
        <is>
          <t>P-02</t>
        </is>
      </c>
      <c r="K57" s="39" t="inlineStr">
        <is>
          <t>No aplica</t>
        </is>
      </c>
      <c r="L57" s="37" t="inlineStr">
        <is>
          <t>MU-02</t>
        </is>
      </c>
      <c r="M57" s="40" t="inlineStr">
        <is>
          <t>CA-20</t>
        </is>
      </c>
      <c r="N57" s="40" t="inlineStr">
        <is>
          <t>CP-44</t>
        </is>
      </c>
      <c r="O57" s="40" t="inlineStr">
        <is>
          <t>Completa</t>
        </is>
      </c>
    </row>
    <row r="58" ht="15" customHeight="1" s="32">
      <c r="A58" s="37" t="inlineStr">
        <is>
          <t>50</t>
        </is>
      </c>
      <c r="B58" s="38" t="inlineStr">
        <is>
          <t>Administrador</t>
        </is>
      </c>
      <c r="C58" s="38" t="inlineStr">
        <is>
          <t>EV-13, EV-11</t>
        </is>
      </c>
      <c r="D58" s="37" t="inlineStr">
        <is>
          <t>RF-37</t>
        </is>
      </c>
      <c r="E58" s="37" t="inlineStr">
        <is>
          <t>RF</t>
        </is>
      </c>
      <c r="F58" s="37" t="inlineStr">
        <is>
          <t>Must</t>
        </is>
      </c>
      <c r="G58" s="37" t="inlineStr">
        <is>
          <t>CU-07</t>
        </is>
      </c>
      <c r="H58" s="37" t="inlineStr">
        <is>
          <t>HU-21</t>
        </is>
      </c>
      <c r="I58" s="39" t="inlineStr">
        <is>
          <t>M-02</t>
        </is>
      </c>
      <c r="J58" s="40" t="inlineStr">
        <is>
          <t>P-02</t>
        </is>
      </c>
      <c r="K58" s="39" t="inlineStr">
        <is>
          <t>No aplica</t>
        </is>
      </c>
      <c r="L58" s="37" t="inlineStr">
        <is>
          <t>MU-02</t>
        </is>
      </c>
      <c r="M58" s="40" t="inlineStr">
        <is>
          <t>CA-21</t>
        </is>
      </c>
      <c r="N58" s="40" t="inlineStr">
        <is>
          <t>CP-45</t>
        </is>
      </c>
      <c r="O58" s="40" t="inlineStr">
        <is>
          <t>Completa</t>
        </is>
      </c>
    </row>
    <row r="59" ht="15" customHeight="1" s="32">
      <c r="A59" s="37" t="inlineStr">
        <is>
          <t>51</t>
        </is>
      </c>
      <c r="B59" s="38" t="inlineStr">
        <is>
          <t>Administrador</t>
        </is>
      </c>
      <c r="C59" s="38" t="inlineStr">
        <is>
          <t>EV-13</t>
        </is>
      </c>
      <c r="D59" s="37" t="inlineStr">
        <is>
          <t>RF-38</t>
        </is>
      </c>
      <c r="E59" s="37" t="inlineStr">
        <is>
          <t>RF</t>
        </is>
      </c>
      <c r="F59" s="37" t="inlineStr">
        <is>
          <t>Should</t>
        </is>
      </c>
      <c r="G59" s="37" t="inlineStr">
        <is>
          <t>CU-07</t>
        </is>
      </c>
      <c r="H59" s="37" t="inlineStr">
        <is>
          <t>—</t>
        </is>
      </c>
      <c r="I59" s="39" t="inlineStr">
        <is>
          <t>M-02</t>
        </is>
      </c>
      <c r="J59" s="40" t="inlineStr">
        <is>
          <t>P-02</t>
        </is>
      </c>
      <c r="K59" s="39" t="inlineStr">
        <is>
          <t>No aplica</t>
        </is>
      </c>
      <c r="L59" s="37" t="inlineStr">
        <is>
          <t>MU-02</t>
        </is>
      </c>
      <c r="M59" s="40" t="inlineStr">
        <is>
          <t>CB-17</t>
        </is>
      </c>
      <c r="N59" s="40" t="inlineStr">
        <is>
          <t>CP-46</t>
        </is>
      </c>
      <c r="O59" s="40" t="inlineStr">
        <is>
          <t>Completa</t>
        </is>
      </c>
    </row>
    <row r="60" ht="15" customHeight="1" s="32">
      <c r="A60" s="37" t="inlineStr">
        <is>
          <t>52</t>
        </is>
      </c>
      <c r="B60" s="38" t="inlineStr">
        <is>
          <t>Administrador</t>
        </is>
      </c>
      <c r="C60" s="38" t="inlineStr">
        <is>
          <t>EV-13</t>
        </is>
      </c>
      <c r="D60" s="37" t="inlineStr">
        <is>
          <t>RF-39</t>
        </is>
      </c>
      <c r="E60" s="37" t="inlineStr">
        <is>
          <t>RF</t>
        </is>
      </c>
      <c r="F60" s="37" t="inlineStr">
        <is>
          <t>Should</t>
        </is>
      </c>
      <c r="G60" s="37" t="inlineStr">
        <is>
          <t>CU-07</t>
        </is>
      </c>
      <c r="H60" s="37" t="inlineStr">
        <is>
          <t>—</t>
        </is>
      </c>
      <c r="I60" s="39" t="inlineStr">
        <is>
          <t>M-02</t>
        </is>
      </c>
      <c r="J60" s="40" t="inlineStr">
        <is>
          <t>P-02</t>
        </is>
      </c>
      <c r="K60" s="39" t="inlineStr">
        <is>
          <t>No aplica</t>
        </is>
      </c>
      <c r="L60" s="37" t="inlineStr">
        <is>
          <t>MU-02</t>
        </is>
      </c>
      <c r="M60" s="40" t="inlineStr">
        <is>
          <t>CB-18</t>
        </is>
      </c>
      <c r="N60" s="40" t="inlineStr">
        <is>
          <t>CP-47</t>
        </is>
      </c>
      <c r="O60" s="40" t="inlineStr">
        <is>
          <t>Completa</t>
        </is>
      </c>
    </row>
    <row r="61" ht="15" customHeight="1" s="32">
      <c r="A61" s="37" t="inlineStr">
        <is>
          <t>53</t>
        </is>
      </c>
      <c r="B61" s="38" t="inlineStr">
        <is>
          <t>Trabajador</t>
        </is>
      </c>
      <c r="C61" s="38" t="inlineStr">
        <is>
          <t>RL-04</t>
        </is>
      </c>
      <c r="D61" s="37" t="inlineStr">
        <is>
          <t>RF-40</t>
        </is>
      </c>
      <c r="E61" s="37" t="inlineStr">
        <is>
          <t>RF</t>
        </is>
      </c>
      <c r="F61" s="37" t="inlineStr">
        <is>
          <t>Must</t>
        </is>
      </c>
      <c r="G61" s="37" t="inlineStr">
        <is>
          <t>CU-13</t>
        </is>
      </c>
      <c r="H61" s="37" t="inlineStr">
        <is>
          <t>HU-22</t>
        </is>
      </c>
      <c r="I61" s="39" t="inlineStr">
        <is>
          <t>M-03</t>
        </is>
      </c>
      <c r="J61" s="40" t="inlineStr">
        <is>
          <t>P-03</t>
        </is>
      </c>
      <c r="K61" s="39" t="inlineStr">
        <is>
          <t>No aplica</t>
        </is>
      </c>
      <c r="L61" s="37" t="inlineStr">
        <is>
          <t>MU-02</t>
        </is>
      </c>
      <c r="M61" s="40" t="inlineStr">
        <is>
          <t>CA-22</t>
        </is>
      </c>
      <c r="N61" s="40" t="inlineStr">
        <is>
          <t>CP-53</t>
        </is>
      </c>
      <c r="O61" s="40" t="inlineStr">
        <is>
          <t>Completa</t>
        </is>
      </c>
    </row>
    <row r="62" ht="15" customHeight="1" s="32">
      <c r="A62" s="37" t="inlineStr">
        <is>
          <t>54</t>
        </is>
      </c>
      <c r="B62" s="38" t="inlineStr">
        <is>
          <t>Trabajador</t>
        </is>
      </c>
      <c r="C62" s="38" t="inlineStr">
        <is>
          <t>RL-05</t>
        </is>
      </c>
      <c r="D62" s="37" t="inlineStr">
        <is>
          <t>RF-41</t>
        </is>
      </c>
      <c r="E62" s="37" t="inlineStr">
        <is>
          <t>RF</t>
        </is>
      </c>
      <c r="F62" s="37" t="inlineStr">
        <is>
          <t>Must</t>
        </is>
      </c>
      <c r="G62" s="37" t="inlineStr">
        <is>
          <t>CU-13</t>
        </is>
      </c>
      <c r="H62" s="37" t="inlineStr">
        <is>
          <t>HU-23</t>
        </is>
      </c>
      <c r="I62" s="39" t="inlineStr">
        <is>
          <t>M-03</t>
        </is>
      </c>
      <c r="J62" s="40" t="inlineStr">
        <is>
          <t>P-03</t>
        </is>
      </c>
      <c r="K62" s="39" t="inlineStr">
        <is>
          <t>No aplica</t>
        </is>
      </c>
      <c r="L62" s="37" t="inlineStr">
        <is>
          <t>MU-02</t>
        </is>
      </c>
      <c r="M62" s="40" t="inlineStr">
        <is>
          <t>CA-23</t>
        </is>
      </c>
      <c r="N62" s="40" t="inlineStr">
        <is>
          <t>CP-54</t>
        </is>
      </c>
      <c r="O62" s="40" t="inlineStr">
        <is>
          <t>Completa</t>
        </is>
      </c>
    </row>
    <row r="63" ht="15" customHeight="1" s="32">
      <c r="A63" s="37" t="inlineStr">
        <is>
          <t>55</t>
        </is>
      </c>
      <c r="B63" s="38" t="inlineStr">
        <is>
          <t>Administrador</t>
        </is>
      </c>
      <c r="C63" s="38" t="inlineStr">
        <is>
          <t>RL-06</t>
        </is>
      </c>
      <c r="D63" s="37" t="inlineStr">
        <is>
          <t>RF-42</t>
        </is>
      </c>
      <c r="E63" s="37" t="inlineStr">
        <is>
          <t>RF</t>
        </is>
      </c>
      <c r="F63" s="37" t="inlineStr">
        <is>
          <t>Must</t>
        </is>
      </c>
      <c r="G63" s="37" t="inlineStr">
        <is>
          <t>CU-13</t>
        </is>
      </c>
      <c r="H63" s="37" t="inlineStr">
        <is>
          <t>HU-24</t>
        </is>
      </c>
      <c r="I63" s="39" t="inlineStr">
        <is>
          <t>M-03</t>
        </is>
      </c>
      <c r="J63" s="40" t="inlineStr">
        <is>
          <t>P-03</t>
        </is>
      </c>
      <c r="K63" s="39" t="inlineStr">
        <is>
          <t>No aplica</t>
        </is>
      </c>
      <c r="L63" s="37" t="inlineStr">
        <is>
          <t>MU-02</t>
        </is>
      </c>
      <c r="M63" s="40" t="inlineStr">
        <is>
          <t>CA-24</t>
        </is>
      </c>
      <c r="N63" s="40" t="inlineStr">
        <is>
          <t>CP-55</t>
        </is>
      </c>
      <c r="O63" s="40" t="inlineStr">
        <is>
          <t>Completa</t>
        </is>
      </c>
    </row>
    <row r="64" ht="15" customHeight="1" s="32">
      <c r="A64" s="37" t="n">
        <v>56</v>
      </c>
      <c r="B64" s="38" t="inlineStr">
        <is>
          <t>Asist. admin.</t>
        </is>
      </c>
      <c r="C64" s="38" t="inlineStr">
        <is>
          <t>EV-02</t>
        </is>
      </c>
      <c r="D64" s="41" t="inlineStr">
        <is>
          <t>RF-IA-01</t>
        </is>
      </c>
      <c r="E64" s="37" t="inlineStr">
        <is>
          <t>RF-IA</t>
        </is>
      </c>
      <c r="F64" s="37" t="inlineStr">
        <is>
          <t>Must</t>
        </is>
      </c>
      <c r="G64" s="37" t="inlineStr">
        <is>
          <t>CU-01</t>
        </is>
      </c>
      <c r="H64" s="37" t="inlineStr">
        <is>
          <t>—</t>
        </is>
      </c>
      <c r="I64" s="39" t="inlineStr">
        <is>
          <t>M-05</t>
        </is>
      </c>
      <c r="J64" s="40" t="inlineStr">
        <is>
          <t>P-05</t>
        </is>
      </c>
      <c r="K64" s="39" t="inlineStr">
        <is>
          <t>A: Abierta $\to$ Notificada</t>
        </is>
      </c>
      <c r="L64" s="37" t="inlineStr">
        <is>
          <t>MU-03</t>
        </is>
      </c>
      <c r="M64" s="40" t="inlineStr">
        <is>
          <t>en ficha</t>
        </is>
      </c>
      <c r="N64" s="40" t="inlineStr">
        <is>
          <t>CP-56</t>
        </is>
      </c>
      <c r="O64" s="40" t="inlineStr">
        <is>
          <t>Completa</t>
        </is>
      </c>
    </row>
    <row r="65" ht="15" customHeight="1" s="32">
      <c r="A65" s="37" t="n">
        <v>57</v>
      </c>
      <c r="B65" s="38" t="inlineStr">
        <is>
          <t>Asist. admin.</t>
        </is>
      </c>
      <c r="C65" s="38" t="inlineStr">
        <is>
          <t>EV-02</t>
        </is>
      </c>
      <c r="D65" s="41" t="inlineStr">
        <is>
          <t>RF-IA-02</t>
        </is>
      </c>
      <c r="E65" s="37" t="inlineStr">
        <is>
          <t>RF-IA</t>
        </is>
      </c>
      <c r="F65" s="37" t="inlineStr">
        <is>
          <t>Must</t>
        </is>
      </c>
      <c r="G65" s="37" t="inlineStr">
        <is>
          <t>CU-01</t>
        </is>
      </c>
      <c r="H65" s="37" t="inlineStr">
        <is>
          <t>—</t>
        </is>
      </c>
      <c r="I65" s="39" t="inlineStr">
        <is>
          <t>M-05</t>
        </is>
      </c>
      <c r="J65" s="40" t="inlineStr">
        <is>
          <t>P-05</t>
        </is>
      </c>
      <c r="K65" s="39" t="inlineStr">
        <is>
          <t>No aplica</t>
        </is>
      </c>
      <c r="L65" s="37" t="inlineStr">
        <is>
          <t>MU-03</t>
        </is>
      </c>
      <c r="M65" s="40" t="inlineStr">
        <is>
          <t>en ficha</t>
        </is>
      </c>
      <c r="N65" s="40" t="inlineStr">
        <is>
          <t>CP-57</t>
        </is>
      </c>
      <c r="O65" s="40" t="inlineStr">
        <is>
          <t>Completa</t>
        </is>
      </c>
    </row>
    <row r="66" ht="15" customHeight="1" s="32">
      <c r="A66" s="37" t="n">
        <v>58</v>
      </c>
      <c r="B66" s="38" t="inlineStr">
        <is>
          <t>Admin.</t>
        </is>
      </c>
      <c r="C66" s="38" t="inlineStr">
        <is>
          <t>RNF-15</t>
        </is>
      </c>
      <c r="D66" s="41" t="inlineStr">
        <is>
          <t>RF-IA-03</t>
        </is>
      </c>
      <c r="E66" s="37" t="inlineStr">
        <is>
          <t>RF-IA</t>
        </is>
      </c>
      <c r="F66" s="37" t="inlineStr">
        <is>
          <t>Must</t>
        </is>
      </c>
      <c r="G66" s="37" t="inlineStr">
        <is>
          <t>CU-18</t>
        </is>
      </c>
      <c r="H66" s="37" t="inlineStr">
        <is>
          <t>—</t>
        </is>
      </c>
      <c r="I66" s="39" t="inlineStr">
        <is>
          <t>M-05</t>
        </is>
      </c>
      <c r="J66" s="40" t="inlineStr">
        <is>
          <t>P-05</t>
        </is>
      </c>
      <c r="K66" s="39" t="inlineStr">
        <is>
          <t>A: $\to$ Descartada</t>
        </is>
      </c>
      <c r="L66" s="37" t="inlineStr">
        <is>
          <t>MU-03</t>
        </is>
      </c>
      <c r="M66" s="40" t="inlineStr">
        <is>
          <t>en ficha</t>
        </is>
      </c>
      <c r="N66" s="40" t="inlineStr">
        <is>
          <t>CP-58</t>
        </is>
      </c>
      <c r="O66" s="40" t="inlineStr">
        <is>
          <t>Completa</t>
        </is>
      </c>
    </row>
    <row r="67" ht="15" customHeight="1" s="32">
      <c r="A67" s="37" t="n">
        <v>59</v>
      </c>
      <c r="B67" s="38" t="inlineStr">
        <is>
          <t>Téc. extr.</t>
        </is>
      </c>
      <c r="C67" s="38" t="inlineStr">
        <is>
          <t>EV-04</t>
        </is>
      </c>
      <c r="D67" s="41" t="inlineStr">
        <is>
          <t>RF-IA-04</t>
        </is>
      </c>
      <c r="E67" s="37" t="inlineStr">
        <is>
          <t>RF-IA</t>
        </is>
      </c>
      <c r="F67" s="37" t="inlineStr">
        <is>
          <t>Must</t>
        </is>
      </c>
      <c r="G67" s="37" t="inlineStr">
        <is>
          <t>CU-06</t>
        </is>
      </c>
      <c r="H67" s="37" t="inlineStr">
        <is>
          <t>—</t>
        </is>
      </c>
      <c r="I67" s="39" t="inlineStr">
        <is>
          <t>M-06</t>
        </is>
      </c>
      <c r="J67" s="40" t="inlineStr">
        <is>
          <t>P-06</t>
        </is>
      </c>
      <c r="K67" s="39" t="inlineStr">
        <is>
          <t>R: En desarrollo $\to$ Maduro</t>
        </is>
      </c>
      <c r="L67" s="37" t="inlineStr">
        <is>
          <t>MU-03</t>
        </is>
      </c>
      <c r="M67" s="40" t="inlineStr">
        <is>
          <t>en ficha</t>
        </is>
      </c>
      <c r="N67" s="40" t="inlineStr">
        <is>
          <t>CP-59</t>
        </is>
      </c>
      <c r="O67" s="40" t="inlineStr">
        <is>
          <t>Completa</t>
        </is>
      </c>
    </row>
    <row r="68" ht="15" customHeight="1" s="32">
      <c r="A68" s="37" t="n">
        <v>60</v>
      </c>
      <c r="B68" s="38" t="inlineStr">
        <is>
          <t>Téc. extr.</t>
        </is>
      </c>
      <c r="C68" s="38" t="inlineStr">
        <is>
          <t>EV-04</t>
        </is>
      </c>
      <c r="D68" s="41" t="inlineStr">
        <is>
          <t>RF-IA-05</t>
        </is>
      </c>
      <c r="E68" s="37" t="inlineStr">
        <is>
          <t>RF-IA</t>
        </is>
      </c>
      <c r="F68" s="37" t="inlineStr">
        <is>
          <t>Must</t>
        </is>
      </c>
      <c r="G68" s="37" t="inlineStr">
        <is>
          <t>CU-06</t>
        </is>
      </c>
      <c r="H68" s="37" t="inlineStr">
        <is>
          <t>—</t>
        </is>
      </c>
      <c r="I68" s="39" t="inlineStr">
        <is>
          <t>M-06</t>
        </is>
      </c>
      <c r="J68" s="40" t="inlineStr">
        <is>
          <t>P-06</t>
        </is>
      </c>
      <c r="K68" s="39" t="inlineStr">
        <is>
          <t>R: Maduro $\to$ Cosechado</t>
        </is>
      </c>
      <c r="L68" s="37" t="inlineStr">
        <is>
          <t>MU-03</t>
        </is>
      </c>
      <c r="M68" s="40" t="inlineStr">
        <is>
          <t>en ficha</t>
        </is>
      </c>
      <c r="N68" s="40" t="inlineStr">
        <is>
          <t>CP-60</t>
        </is>
      </c>
      <c r="O68" s="40" t="inlineStr">
        <is>
          <t>Completa</t>
        </is>
      </c>
    </row>
    <row r="69" ht="15" customHeight="1" s="32">
      <c r="A69" s="37" t="n">
        <v>61</v>
      </c>
      <c r="B69" s="38" t="inlineStr">
        <is>
          <t>Admin.</t>
        </is>
      </c>
      <c r="C69" s="38" t="inlineStr">
        <is>
          <t>EV-04</t>
        </is>
      </c>
      <c r="D69" s="41" t="inlineStr">
        <is>
          <t>RF-IA-06</t>
        </is>
      </c>
      <c r="E69" s="37" t="inlineStr">
        <is>
          <t>RF-IA</t>
        </is>
      </c>
      <c r="F69" s="37" t="inlineStr">
        <is>
          <t>Must</t>
        </is>
      </c>
      <c r="G69" s="37" t="inlineStr">
        <is>
          <t>CU-10</t>
        </is>
      </c>
      <c r="H69" s="37" t="inlineStr">
        <is>
          <t>—</t>
        </is>
      </c>
      <c r="I69" s="39" t="inlineStr">
        <is>
          <t>M-06</t>
        </is>
      </c>
      <c r="J69" s="40" t="inlineStr">
        <is>
          <t>P-06</t>
        </is>
      </c>
      <c r="K69" s="39" t="inlineStr">
        <is>
          <t>R: Cosechado $\to$ Despachado</t>
        </is>
      </c>
      <c r="L69" s="37" t="inlineStr">
        <is>
          <t>MU-06</t>
        </is>
      </c>
      <c r="M69" s="40" t="inlineStr">
        <is>
          <t>en ficha</t>
        </is>
      </c>
      <c r="N69" s="40" t="inlineStr">
        <is>
          <t>CP-61</t>
        </is>
      </c>
      <c r="O69" s="40" t="inlineStr">
        <is>
          <t>Completa</t>
        </is>
      </c>
    </row>
    <row r="70" ht="21.75" customHeight="1" s="32">
      <c r="A70" s="37" t="n">
        <v>62</v>
      </c>
      <c r="B70" s="38" t="inlineStr">
        <is>
          <t>Asist. admin.</t>
        </is>
      </c>
      <c r="C70" s="38" t="inlineStr">
        <is>
          <t>RNF-01</t>
        </is>
      </c>
      <c r="D70" s="41" t="inlineStr">
        <is>
          <t>RNF-IA-01</t>
        </is>
      </c>
      <c r="E70" s="37" t="inlineStr">
        <is>
          <t>RNF-IA</t>
        </is>
      </c>
      <c r="F70" s="37" t="inlineStr">
        <is>
          <t>Must</t>
        </is>
      </c>
      <c r="G70" s="37" t="inlineStr">
        <is>
          <t>CU-01</t>
        </is>
      </c>
      <c r="H70" s="37" t="inlineStr">
        <is>
          <t>—</t>
        </is>
      </c>
      <c r="I70" s="39" t="inlineStr">
        <is>
          <t>M-05</t>
        </is>
      </c>
      <c r="J70" s="40" t="inlineStr">
        <is>
          <t>P-05 (vía CU)</t>
        </is>
      </c>
      <c r="K70" s="39" t="inlineStr">
        <is>
          <t>No aplica</t>
        </is>
      </c>
      <c r="L70" s="37" t="inlineStr">
        <is>
          <t>No aplica</t>
        </is>
      </c>
      <c r="M70" s="40" t="inlineStr">
        <is>
          <t>en ficha</t>
        </is>
      </c>
      <c r="N70" s="40" t="inlineStr">
        <is>
          <t>CP-62</t>
        </is>
      </c>
      <c r="O70" s="40" t="inlineStr">
        <is>
          <t>Completa</t>
        </is>
      </c>
    </row>
    <row r="71" ht="21.75" customHeight="1" s="32">
      <c r="A71" s="37" t="n">
        <v>63</v>
      </c>
      <c r="B71" s="38" t="inlineStr">
        <is>
          <t>Asist. admin.</t>
        </is>
      </c>
      <c r="C71" s="38" t="inlineStr">
        <is>
          <t>RNF-02</t>
        </is>
      </c>
      <c r="D71" s="41" t="inlineStr">
        <is>
          <t>RNF-IA-02</t>
        </is>
      </c>
      <c r="E71" s="37" t="inlineStr">
        <is>
          <t>RNF-IA</t>
        </is>
      </c>
      <c r="F71" s="37" t="inlineStr">
        <is>
          <t>Must</t>
        </is>
      </c>
      <c r="G71" s="37" t="inlineStr">
        <is>
          <t>CU-01</t>
        </is>
      </c>
      <c r="H71" s="37" t="inlineStr">
        <is>
          <t>—</t>
        </is>
      </c>
      <c r="I71" s="39" t="inlineStr">
        <is>
          <t>M-05</t>
        </is>
      </c>
      <c r="J71" s="40" t="inlineStr">
        <is>
          <t>P-05 (vía CU)</t>
        </is>
      </c>
      <c r="K71" s="39" t="inlineStr">
        <is>
          <t>No aplica</t>
        </is>
      </c>
      <c r="L71" s="37" t="inlineStr">
        <is>
          <t>No aplica</t>
        </is>
      </c>
      <c r="M71" s="40" t="inlineStr">
        <is>
          <t>en ficha</t>
        </is>
      </c>
      <c r="N71" s="40" t="inlineStr">
        <is>
          <t>CP-63</t>
        </is>
      </c>
      <c r="O71" s="40" t="inlineStr">
        <is>
          <t>Completa</t>
        </is>
      </c>
    </row>
    <row r="72" ht="21.75" customHeight="1" s="32">
      <c r="A72" s="37" t="n">
        <v>64</v>
      </c>
      <c r="B72" s="38" t="inlineStr">
        <is>
          <t>Trabajador</t>
        </is>
      </c>
      <c r="C72" s="38" t="inlineStr">
        <is>
          <t>RNF-04</t>
        </is>
      </c>
      <c r="D72" s="41" t="inlineStr">
        <is>
          <t>RNF-IA-03</t>
        </is>
      </c>
      <c r="E72" s="37" t="inlineStr">
        <is>
          <t>RNF-IA</t>
        </is>
      </c>
      <c r="F72" s="37" t="inlineStr">
        <is>
          <t>Must</t>
        </is>
      </c>
      <c r="G72" s="37" t="inlineStr">
        <is>
          <t>CU-01</t>
        </is>
      </c>
      <c r="H72" s="37" t="inlineStr">
        <is>
          <t>—</t>
        </is>
      </c>
      <c r="I72" s="39" t="inlineStr">
        <is>
          <t>M-05</t>
        </is>
      </c>
      <c r="J72" s="40" t="inlineStr">
        <is>
          <t>P-05 (vía CU)</t>
        </is>
      </c>
      <c r="K72" s="39" t="inlineStr">
        <is>
          <t>No aplica</t>
        </is>
      </c>
      <c r="L72" s="37" t="inlineStr">
        <is>
          <t>No aplica</t>
        </is>
      </c>
      <c r="M72" s="40" t="inlineStr">
        <is>
          <t>en ficha</t>
        </is>
      </c>
      <c r="N72" s="40" t="inlineStr">
        <is>
          <t>CP-64</t>
        </is>
      </c>
      <c r="O72" s="40" t="inlineStr">
        <is>
          <t>Completa</t>
        </is>
      </c>
    </row>
    <row r="73" ht="21.75" customHeight="1" s="32">
      <c r="A73" s="37" t="n">
        <v>65</v>
      </c>
      <c r="B73" s="38" t="inlineStr">
        <is>
          <t>Admin.</t>
        </is>
      </c>
      <c r="C73" s="38" t="inlineStr">
        <is>
          <t>RD-01</t>
        </is>
      </c>
      <c r="D73" s="41" t="inlineStr">
        <is>
          <t>RNF-IA-04</t>
        </is>
      </c>
      <c r="E73" s="37" t="inlineStr">
        <is>
          <t>RNF-IA</t>
        </is>
      </c>
      <c r="F73" s="37" t="inlineStr">
        <is>
          <t>Must</t>
        </is>
      </c>
      <c r="G73" s="37" t="inlineStr">
        <is>
          <t>CU-01</t>
        </is>
      </c>
      <c r="H73" s="37" t="inlineStr">
        <is>
          <t>—</t>
        </is>
      </c>
      <c r="I73" s="39" t="inlineStr">
        <is>
          <t>M-05</t>
        </is>
      </c>
      <c r="J73" s="40" t="inlineStr">
        <is>
          <t>P-05 (vía CU)</t>
        </is>
      </c>
      <c r="K73" s="39" t="inlineStr">
        <is>
          <t>No aplica</t>
        </is>
      </c>
      <c r="L73" s="37" t="inlineStr">
        <is>
          <t>No aplica</t>
        </is>
      </c>
      <c r="M73" s="40" t="inlineStr">
        <is>
          <t>en ficha</t>
        </is>
      </c>
      <c r="N73" s="40" t="inlineStr">
        <is>
          <t>CP-65</t>
        </is>
      </c>
      <c r="O73" s="40" t="inlineStr">
        <is>
          <t>Completa</t>
        </is>
      </c>
    </row>
    <row r="74" ht="21.75" customHeight="1" s="32">
      <c r="A74" s="37" t="n">
        <v>66</v>
      </c>
      <c r="B74" s="38" t="inlineStr">
        <is>
          <t>Trabajador</t>
        </is>
      </c>
      <c r="C74" s="38" t="inlineStr">
        <is>
          <t>RD-01</t>
        </is>
      </c>
      <c r="D74" s="41" t="inlineStr">
        <is>
          <t>RNF-IA-05</t>
        </is>
      </c>
      <c r="E74" s="37" t="inlineStr">
        <is>
          <t>RNF-IA</t>
        </is>
      </c>
      <c r="F74" s="37" t="inlineStr">
        <is>
          <t>Must</t>
        </is>
      </c>
      <c r="G74" s="37" t="inlineStr">
        <is>
          <t>CU-01</t>
        </is>
      </c>
      <c r="H74" s="37" t="inlineStr">
        <is>
          <t>—</t>
        </is>
      </c>
      <c r="I74" s="39" t="inlineStr">
        <is>
          <t>M-05</t>
        </is>
      </c>
      <c r="J74" s="40" t="inlineStr">
        <is>
          <t>P-05 (vía CU)</t>
        </is>
      </c>
      <c r="K74" s="39" t="inlineStr">
        <is>
          <t>No aplica</t>
        </is>
      </c>
      <c r="L74" s="37" t="inlineStr">
        <is>
          <t>No aplica</t>
        </is>
      </c>
      <c r="M74" s="40" t="inlineStr">
        <is>
          <t>en ficha</t>
        </is>
      </c>
      <c r="N74" s="40" t="inlineStr">
        <is>
          <t>CP-66</t>
        </is>
      </c>
      <c r="O74" s="40" t="inlineStr">
        <is>
          <t>Completa</t>
        </is>
      </c>
    </row>
    <row r="75" ht="21.75" customHeight="1" s="32">
      <c r="A75" s="37" t="n">
        <v>67</v>
      </c>
      <c r="B75" s="38" t="inlineStr">
        <is>
          <t>Asist. admin.</t>
        </is>
      </c>
      <c r="C75" s="38" t="inlineStr">
        <is>
          <t>RNF-16</t>
        </is>
      </c>
      <c r="D75" s="41" t="inlineStr">
        <is>
          <t>RNF-IA-06</t>
        </is>
      </c>
      <c r="E75" s="37" t="inlineStr">
        <is>
          <t>RNF-IA</t>
        </is>
      </c>
      <c r="F75" s="37" t="inlineStr">
        <is>
          <t>Must</t>
        </is>
      </c>
      <c r="G75" s="37" t="inlineStr">
        <is>
          <t>CU-18</t>
        </is>
      </c>
      <c r="H75" s="37" t="inlineStr">
        <is>
          <t>—</t>
        </is>
      </c>
      <c r="I75" s="39" t="inlineStr">
        <is>
          <t>M-05</t>
        </is>
      </c>
      <c r="J75" s="40" t="inlineStr">
        <is>
          <t>P-05 (vía CU)</t>
        </is>
      </c>
      <c r="K75" s="39" t="inlineStr">
        <is>
          <t>No aplica</t>
        </is>
      </c>
      <c r="L75" s="37" t="inlineStr">
        <is>
          <t>MU-03</t>
        </is>
      </c>
      <c r="M75" s="40" t="inlineStr">
        <is>
          <t>en ficha</t>
        </is>
      </c>
      <c r="N75" s="40" t="inlineStr">
        <is>
          <t>CP-67</t>
        </is>
      </c>
      <c r="O75" s="40" t="inlineStr">
        <is>
          <t>Completa</t>
        </is>
      </c>
    </row>
    <row r="76" ht="21.75" customHeight="1" s="32">
      <c r="A76" s="37" t="n">
        <v>68</v>
      </c>
      <c r="B76" s="38" t="inlineStr">
        <is>
          <t>Téc. extr.</t>
        </is>
      </c>
      <c r="C76" s="38" t="inlineStr">
        <is>
          <t>EV-04</t>
        </is>
      </c>
      <c r="D76" s="41" t="inlineStr">
        <is>
          <t>RNF-IA-07</t>
        </is>
      </c>
      <c r="E76" s="37" t="inlineStr">
        <is>
          <t>RNF-IA</t>
        </is>
      </c>
      <c r="F76" s="37" t="inlineStr">
        <is>
          <t>Must</t>
        </is>
      </c>
      <c r="G76" s="37" t="inlineStr">
        <is>
          <t>CU-06</t>
        </is>
      </c>
      <c r="H76" s="37" t="inlineStr">
        <is>
          <t>—</t>
        </is>
      </c>
      <c r="I76" s="39" t="inlineStr">
        <is>
          <t>M-06</t>
        </is>
      </c>
      <c r="J76" s="40" t="inlineStr">
        <is>
          <t>P-06 (vía CU)</t>
        </is>
      </c>
      <c r="K76" s="39" t="inlineStr">
        <is>
          <t>No aplica</t>
        </is>
      </c>
      <c r="L76" s="37" t="inlineStr">
        <is>
          <t>No aplica</t>
        </is>
      </c>
      <c r="M76" s="40" t="inlineStr">
        <is>
          <t>en ficha</t>
        </is>
      </c>
      <c r="N76" s="40" t="inlineStr">
        <is>
          <t>CP-68</t>
        </is>
      </c>
      <c r="O76" s="40" t="inlineStr">
        <is>
          <t>Completa</t>
        </is>
      </c>
    </row>
    <row r="77" ht="21.75" customHeight="1" s="32">
      <c r="A77" s="37" t="n">
        <v>69</v>
      </c>
      <c r="B77" s="38" t="inlineStr">
        <is>
          <t>Téc. extr.</t>
        </is>
      </c>
      <c r="C77" s="38" t="inlineStr">
        <is>
          <t>EV-04</t>
        </is>
      </c>
      <c r="D77" s="41" t="inlineStr">
        <is>
          <t>RNF-IA-08</t>
        </is>
      </c>
      <c r="E77" s="37" t="inlineStr">
        <is>
          <t>RNF-IA</t>
        </is>
      </c>
      <c r="F77" s="37" t="inlineStr">
        <is>
          <t>Must</t>
        </is>
      </c>
      <c r="G77" s="37" t="inlineStr">
        <is>
          <t>CU-06</t>
        </is>
      </c>
      <c r="H77" s="37" t="inlineStr">
        <is>
          <t>—</t>
        </is>
      </c>
      <c r="I77" s="39" t="inlineStr">
        <is>
          <t>M-06</t>
        </is>
      </c>
      <c r="J77" s="40" t="inlineStr">
        <is>
          <t>P-06 (vía CU)</t>
        </is>
      </c>
      <c r="K77" s="39" t="inlineStr">
        <is>
          <t>No aplica</t>
        </is>
      </c>
      <c r="L77" s="37" t="inlineStr">
        <is>
          <t>No aplica</t>
        </is>
      </c>
      <c r="M77" s="40" t="inlineStr">
        <is>
          <t>en ficha</t>
        </is>
      </c>
      <c r="N77" s="40" t="inlineStr">
        <is>
          <t>CP-69</t>
        </is>
      </c>
      <c r="O77" s="40" t="inlineStr">
        <is>
          <t>Completa</t>
        </is>
      </c>
    </row>
    <row r="78" ht="21.75" customHeight="1" s="32">
      <c r="A78" s="37" t="n">
        <v>70</v>
      </c>
      <c r="B78" s="38" t="inlineStr">
        <is>
          <t>Admin.</t>
        </is>
      </c>
      <c r="C78" s="38" t="inlineStr">
        <is>
          <t>RNF-04</t>
        </is>
      </c>
      <c r="D78" s="41" t="inlineStr">
        <is>
          <t>RNF-IA-09</t>
        </is>
      </c>
      <c r="E78" s="37" t="inlineStr">
        <is>
          <t>RNF-IA</t>
        </is>
      </c>
      <c r="F78" s="37" t="inlineStr">
        <is>
          <t>Must</t>
        </is>
      </c>
      <c r="G78" s="37" t="inlineStr">
        <is>
          <t>CU-06</t>
        </is>
      </c>
      <c r="H78" s="37" t="inlineStr">
        <is>
          <t>—</t>
        </is>
      </c>
      <c r="I78" s="39" t="inlineStr">
        <is>
          <t>M-06</t>
        </is>
      </c>
      <c r="J78" s="40" t="inlineStr">
        <is>
          <t>P-06 (vía CU)</t>
        </is>
      </c>
      <c r="K78" s="39" t="inlineStr">
        <is>
          <t>No aplica</t>
        </is>
      </c>
      <c r="L78" s="37" t="inlineStr">
        <is>
          <t>No aplica</t>
        </is>
      </c>
      <c r="M78" s="40" t="inlineStr">
        <is>
          <t>en ficha</t>
        </is>
      </c>
      <c r="N78" s="40" t="inlineStr">
        <is>
          <t>CP-70</t>
        </is>
      </c>
      <c r="O78" s="40" t="inlineStr">
        <is>
          <t>Completa</t>
        </is>
      </c>
    </row>
    <row r="79" ht="21.75" customHeight="1" s="32">
      <c r="A79" s="37" t="n">
        <v>71</v>
      </c>
      <c r="B79" s="38" t="inlineStr">
        <is>
          <t>Trabajador</t>
        </is>
      </c>
      <c r="C79" s="38" t="inlineStr">
        <is>
          <t>RF-24</t>
        </is>
      </c>
      <c r="D79" s="41" t="inlineStr">
        <is>
          <t>RNF-IA-10</t>
        </is>
      </c>
      <c r="E79" s="37" t="inlineStr">
        <is>
          <t>RNF-IA</t>
        </is>
      </c>
      <c r="F79" s="37" t="inlineStr">
        <is>
          <t>Must</t>
        </is>
      </c>
      <c r="G79" s="37" t="inlineStr">
        <is>
          <t>CU-10</t>
        </is>
      </c>
      <c r="H79" s="37" t="inlineStr">
        <is>
          <t>—</t>
        </is>
      </c>
      <c r="I79" s="39" t="inlineStr">
        <is>
          <t>M-06</t>
        </is>
      </c>
      <c r="J79" s="40" t="inlineStr">
        <is>
          <t>P-06 (vía CU)</t>
        </is>
      </c>
      <c r="K79" s="39" t="inlineStr">
        <is>
          <t>No aplica</t>
        </is>
      </c>
      <c r="L79" s="37" t="inlineStr">
        <is>
          <t>No aplica</t>
        </is>
      </c>
      <c r="M79" s="40" t="inlineStr">
        <is>
          <t>en ficha</t>
        </is>
      </c>
      <c r="N79" s="40" t="inlineStr">
        <is>
          <t>CP-71</t>
        </is>
      </c>
      <c r="O79" s="40" t="inlineStr">
        <is>
          <t>Completa</t>
        </is>
      </c>
    </row>
    <row r="80" ht="21.75" customHeight="1" s="32">
      <c r="A80" s="37" t="n">
        <v>72</v>
      </c>
      <c r="B80" s="38" t="inlineStr">
        <is>
          <t>Admin.</t>
        </is>
      </c>
      <c r="C80" s="38" t="inlineStr">
        <is>
          <t>RNF-18</t>
        </is>
      </c>
      <c r="D80" s="41" t="inlineStr">
        <is>
          <t>RNF-IA-11</t>
        </is>
      </c>
      <c r="E80" s="37" t="inlineStr">
        <is>
          <t>RNF-IA</t>
        </is>
      </c>
      <c r="F80" s="37" t="inlineStr">
        <is>
          <t>Must</t>
        </is>
      </c>
      <c r="G80" s="37" t="inlineStr">
        <is>
          <t>CU-10</t>
        </is>
      </c>
      <c r="H80" s="37" t="inlineStr">
        <is>
          <t>—</t>
        </is>
      </c>
      <c r="I80" s="39" t="inlineStr">
        <is>
          <t>M-06</t>
        </is>
      </c>
      <c r="J80" s="40" t="inlineStr">
        <is>
          <t>P-06 (vía CU)</t>
        </is>
      </c>
      <c r="K80" s="39" t="inlineStr">
        <is>
          <t>No aplica</t>
        </is>
      </c>
      <c r="L80" s="37" t="inlineStr">
        <is>
          <t>No aplica</t>
        </is>
      </c>
      <c r="M80" s="40" t="inlineStr">
        <is>
          <t>en ficha</t>
        </is>
      </c>
      <c r="N80" s="40" t="inlineStr">
        <is>
          <t>CP-72</t>
        </is>
      </c>
      <c r="O80" s="40" t="inlineStr">
        <is>
          <t>Completa</t>
        </is>
      </c>
    </row>
    <row r="81" ht="21.75" customHeight="1" s="32">
      <c r="A81" s="37" t="n">
        <v>73</v>
      </c>
      <c r="B81" s="38" t="inlineStr">
        <is>
          <t>Admin.</t>
        </is>
      </c>
      <c r="C81" s="38" t="inlineStr">
        <is>
          <t>RNF-16</t>
        </is>
      </c>
      <c r="D81" s="41" t="inlineStr">
        <is>
          <t>RNF-IA-12</t>
        </is>
      </c>
      <c r="E81" s="37" t="inlineStr">
        <is>
          <t>RNF-IA</t>
        </is>
      </c>
      <c r="F81" s="37" t="inlineStr">
        <is>
          <t>Must</t>
        </is>
      </c>
      <c r="G81" s="37" t="inlineStr">
        <is>
          <t>CU-18</t>
        </is>
      </c>
      <c r="H81" s="37" t="inlineStr">
        <is>
          <t>—</t>
        </is>
      </c>
      <c r="I81" s="39" t="inlineStr">
        <is>
          <t>M-06</t>
        </is>
      </c>
      <c r="J81" s="40" t="inlineStr">
        <is>
          <t>P-06 (vía CU)</t>
        </is>
      </c>
      <c r="K81" s="39" t="inlineStr">
        <is>
          <t>No aplica</t>
        </is>
      </c>
      <c r="L81" s="37" t="inlineStr">
        <is>
          <t>MU-06</t>
        </is>
      </c>
      <c r="M81" s="40" t="inlineStr">
        <is>
          <t>en ficha</t>
        </is>
      </c>
      <c r="N81" s="40" t="inlineStr">
        <is>
          <t>CP-73</t>
        </is>
      </c>
      <c r="O81" s="40" t="inlineStr">
        <is>
          <t>Completa</t>
        </is>
      </c>
    </row>
  </sheetData>
  <autoFilter ref="A8:O81"/>
  <mergeCells count="1">
    <mergeCell ref="B3:N5"/>
  </mergeCells>
  <dataValidations count="1">
    <dataValidation sqref="O9:O63" showDropDown="0" showInputMessage="0" showErrorMessage="0" allowBlank="0" type="list" errorStyle="stop" operator="between">
      <formula1>"Completa,Parcial,Huérfana"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1" min="1" max="1"/>
    <col width="12" customWidth="1" style="31" min="2" max="2"/>
    <col width="94" customWidth="1" style="31" min="3" max="3"/>
  </cols>
  <sheetData>
    <row r="1" ht="15" customHeight="1" s="32">
      <c r="A1" s="42" t="inlineStr">
        <is>
          <t>DIAGNÓSTICO DE LA TRAZABILIDAD</t>
        </is>
      </c>
    </row>
    <row r="2" ht="42.75" customHeight="1" s="32">
      <c r="A2" s="43" t="inlineStr">
        <is>
          <t>Calculado con fórmulas sobre la hoja Matriz_E2E. Los elementos huérfanos se reportan de forma explícita: un vacío declarado es un dato de la auditoría, no un defecto oculto.</t>
        </is>
      </c>
      <c r="B2" s="31" t="n"/>
    </row>
    <row r="4" ht="15" customHeight="1" s="32">
      <c r="A4" s="44" t="inlineStr">
        <is>
          <t>Filas de la matriz</t>
        </is>
      </c>
      <c r="B4" s="45">
        <f>COUNTA(Matriz_E2E!A9:A81)</f>
        <v/>
      </c>
    </row>
    <row r="5" ht="15" customHeight="1" s="32">
      <c r="A5" s="44" t="inlineStr">
        <is>
          <t>Trazas completas</t>
        </is>
      </c>
      <c r="B5" s="45">
        <f>COUNTIF(Matriz_E2E!$O$9:$O$81,"Completa")</f>
        <v/>
      </c>
    </row>
    <row r="6" ht="15" customHeight="1" s="32">
      <c r="A6" s="44" t="inlineStr">
        <is>
          <t>Trazas parciales</t>
        </is>
      </c>
      <c r="B6" s="45">
        <f>COUNTIF(Matriz_E2E!$O$9:$O$81,"Parcial")</f>
        <v/>
      </c>
    </row>
    <row r="7" ht="15" customHeight="1" s="32">
      <c r="A7" s="44" t="inlineStr">
        <is>
          <t>Trazas huérfanas</t>
        </is>
      </c>
      <c r="B7" s="45">
        <f>COUNTIF(Matriz_E2E!$O$9:$O$81,"Huérfana")</f>
        <v/>
      </c>
    </row>
    <row r="8" ht="15" customHeight="1" s="32">
      <c r="A8" s="44" t="inlineStr">
        <is>
          <t>% de trazas completas</t>
        </is>
      </c>
      <c r="B8" s="46">
        <f>IFERROR(B5/B4,0)</f>
        <v/>
      </c>
    </row>
    <row r="9" ht="15" customHeight="1" s="32">
      <c r="A9" s="44" t="inlineStr">
        <is>
          <t>Filas con estado modelado</t>
        </is>
      </c>
      <c r="B9" s="45">
        <f>COUNTA(Matriz_E2E!K9:K81)-COUNTIF(Matriz_E2E!K9:K81,"No aplica")</f>
        <v/>
      </c>
    </row>
    <row r="10" ht="15" customHeight="1" s="32">
      <c r="A10" s="44" t="inlineStr">
        <is>
          <t>Filas con criterio BDD</t>
        </is>
      </c>
      <c r="B10" s="45">
        <f>COUNTA(Matriz_E2E!M9:M81)-COUNTIF(Matriz_E2E!M9:M81,"—")-COUNTIF(Matriz_E2E!M9:M81,"No aplica (restricción)")</f>
        <v/>
      </c>
    </row>
    <row r="11" ht="15" customHeight="1" s="32">
      <c r="A11" s="44" t="inlineStr">
        <is>
          <t>Filas sin prototipo</t>
        </is>
      </c>
      <c r="B11" s="45">
        <f>COUNTIF(Matriz_E2E!L9:L81,"—")</f>
        <v/>
      </c>
    </row>
    <row r="13" ht="15" customHeight="1" s="32">
      <c r="A13" s="47" t="inlineStr">
        <is>
          <t>ELEMENTOS HUÉRFANOS Y VACÍOS DECLARADOS</t>
        </is>
      </c>
    </row>
    <row r="14" ht="15" customHeight="1" s="32">
      <c r="A14" s="48" t="inlineStr">
        <is>
          <t>Elemento</t>
        </is>
      </c>
      <c r="B14" s="48" t="inlineStr">
        <is>
          <t>Eslabón ausente</t>
        </is>
      </c>
      <c r="C14" s="48" t="inlineStr">
        <is>
          <t>Justificación o acción</t>
        </is>
      </c>
    </row>
    <row r="15" ht="21.75" customHeight="1" s="32">
      <c r="A15" s="38" t="inlineStr">
        <is>
          <t>RF-03, RF-27, RF-34</t>
        </is>
      </c>
      <c r="B15" s="38" t="inlineStr">
        <is>
          <t>Prototipo de interfaz</t>
        </is>
      </c>
      <c r="C15" s="38" t="inlineStr">
        <is>
          <t>Los tres son de prioridad distinta de Must, por lo que el vacío no incumple la exigencia de prototipar las pantallas Must. Se declara y se difiere a la Entrega 4.</t>
        </is>
      </c>
    </row>
    <row r="16" ht="32.25" customHeight="1" s="32">
      <c r="A16" s="38" t="inlineStr">
        <is>
          <t>RD-07, RD-10</t>
        </is>
      </c>
      <c r="B16" s="38" t="inlineStr">
        <is>
          <t>Criterio de aceptación BDD</t>
        </is>
      </c>
      <c r="C16" s="38" t="inlineStr">
        <is>
          <t>Las restricciones de diseño no describen un comportamiento del sistema sino una condición impuesta sobre su construcción, de modo que no admiten criterio de aceptación en el mismo sentido. Se declaran como "No aplica (restricción)" y quedan fuera del denominador de la métrica M3, que audita requisitos funcionales y no funcionales.</t>
        </is>
      </c>
    </row>
    <row r="17" ht="32.25" customHeight="1" s="32">
      <c r="A17" s="38" t="inlineStr">
        <is>
          <t>RNF y RD</t>
        </is>
      </c>
      <c r="B17" s="38" t="inlineStr">
        <is>
          <t>Proceso DFD propio</t>
        </is>
      </c>
      <c r="C17" s="38" t="inlineStr">
        <is>
          <t>Los requisitos no funcionales y las restricciones no realizan un proceso: lo condicionan. Se les asigna el proceso mayoritario de los RF que comparten su caso de uso, y la columna lo marca con "(vía CU)" para que la derivación sea visible y no se confunda con una asignación directa.</t>
        </is>
      </c>
    </row>
    <row r="18" ht="32.25" customHeight="1" s="32">
      <c r="A18" s="38" t="inlineStr">
        <is>
          <t>28 filas</t>
        </is>
      </c>
      <c r="B18" s="38" t="inlineStr">
        <is>
          <t>Estado de máquina de estados</t>
        </is>
      </c>
      <c r="C18" s="38" t="inlineStr">
        <is>
          <t>El ERS modela el ciclo de vida de dos entidades: el racimo y la alerta. Los requisitos cuyo objeto no es ninguna de las dos ---gestión de personal, planificación, reportes--- no tienen estado asociado, y la columna declara "No aplica". No es un vacío de trazabilidad sino la ausencia de un eslabón que no corresponde.</t>
        </is>
      </c>
    </row>
  </sheetData>
  <mergeCells count="1">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1" min="1" max="1"/>
    <col width="12" customWidth="1" style="31" min="2" max="2"/>
    <col width="11" customWidth="1" style="31" min="3" max="3"/>
    <col width="12" customWidth="1" style="31" min="4" max="4"/>
    <col width="11" customWidth="1" style="31" min="5" max="5"/>
    <col width="12" customWidth="1" style="31" min="6" max="7"/>
    <col width="60" customWidth="1" style="31" min="8" max="8"/>
  </cols>
  <sheetData>
    <row r="1" ht="15" customHeight="1" s="32">
      <c r="A1" s="42" t="inlineStr">
        <is>
          <t>SINCRONIZACIÓN ENTRE EL ERS Y EL TABLERO CASE</t>
        </is>
      </c>
    </row>
    <row r="2" ht="42.75" customHeight="1" s="32">
      <c r="A2" s="49" t="inlineStr">
        <is>
          <t>Contraste cuantitativo entre lo especificado en el ERS y lo cargado en el tablero CASE. La columna «Inicial» recoge el estado al comenzar la Unidad V; la columna «Actual», el estado tras la sincronización del 21/08/2026 verificada sobre backlog_export.csv.</t>
        </is>
      </c>
      <c r="B2" s="31" t="n"/>
    </row>
    <row r="6" ht="30" customHeight="1" s="32">
      <c r="A6" s="50" t="inlineStr">
        <is>
          <t>Elemento</t>
        </is>
      </c>
      <c r="B6" s="50" t="inlineStr">
        <is>
          <t>En el ERS</t>
        </is>
      </c>
      <c r="C6" s="50" t="inlineStr">
        <is>
          <t>Tablero
inicial</t>
        </is>
      </c>
      <c r="D6" s="50" t="inlineStr">
        <is>
          <t>Divergencia
inicial</t>
        </is>
      </c>
      <c r="E6" s="50" t="inlineStr">
        <is>
          <t>Tablero
actual</t>
        </is>
      </c>
      <c r="F6" s="51" t="inlineStr">
        <is>
          <t>Divergencia
actual</t>
        </is>
      </c>
      <c r="G6" s="51" t="inlineStr">
        <is>
          <t>Estado</t>
        </is>
      </c>
    </row>
    <row r="7" ht="15" customHeight="1" s="32">
      <c r="A7" s="52" t="inlineStr">
        <is>
          <t>Epics / bloques funcionales</t>
        </is>
      </c>
      <c r="B7" s="53" t="n">
        <v>10</v>
      </c>
      <c r="C7" s="53" t="n">
        <v>7</v>
      </c>
      <c r="D7" s="53">
        <f>B7-C7</f>
        <v/>
      </c>
      <c r="E7" s="53" t="n">
        <v>10</v>
      </c>
      <c r="F7" s="54">
        <f>MAX(0,B7-E7)</f>
        <v/>
      </c>
      <c r="G7" s="54">
        <f>IF(F7=0,"Cerrado","Pendiente")</f>
        <v/>
      </c>
      <c r="H7" s="49" t="inlineStr">
        <is>
          <t>Se añadieron los dos epics de componentes de IA y el de requisitos no funcionales.</t>
        </is>
      </c>
    </row>
    <row r="8" ht="21.75" customHeight="1" s="32">
      <c r="A8" s="52" t="inlineStr">
        <is>
          <t>Stories / requisitos</t>
        </is>
      </c>
      <c r="B8" s="53" t="n">
        <v>79</v>
      </c>
      <c r="C8" s="53" t="n">
        <v>39</v>
      </c>
      <c r="D8" s="53">
        <f>B8-C8</f>
        <v/>
      </c>
      <c r="E8" s="53" t="n">
        <v>79</v>
      </c>
      <c r="F8" s="54">
        <f>MAX(0,B8-E8)</f>
        <v/>
      </c>
      <c r="G8" s="54">
        <f>IF(F8=0,"Cerrado","Pendiente")</f>
        <v/>
      </c>
      <c r="H8" s="49" t="inlineStr">
        <is>
          <t>Se cargaron RF-40 a RF-42 (RFC-03), RF-IA-01 a RF-IA-06, RNF-IA-01 a RNF-IA-12 y RNF-01 a RNF-19.</t>
        </is>
      </c>
    </row>
    <row r="9" ht="21.75" customHeight="1" s="32">
      <c r="A9" s="52" t="inlineStr">
        <is>
          <t>Sub-tasks / criterios de aceptación</t>
        </is>
      </c>
      <c r="B9" s="53" t="n">
        <v>79</v>
      </c>
      <c r="C9" s="53" t="n">
        <v>38</v>
      </c>
      <c r="D9" s="53">
        <f>B9-C9</f>
        <v/>
      </c>
      <c r="E9" s="53" t="n">
        <v>86</v>
      </c>
      <c r="F9" s="54">
        <f>MAX(0,B9-E9)</f>
        <v/>
      </c>
      <c r="G9" s="54">
        <f>IF(F9=0,"Cerrado","Pendiente")</f>
        <v/>
      </c>
      <c r="H9" s="49" t="inlineStr">
        <is>
          <t>Se cargaron los 37 criterios CB del Apéndice F y los 24 criterios CA. Las 25 sub-tareas restantes son tareas de verificación creadas por el equipo, no previstas en el ERS.</t>
        </is>
      </c>
    </row>
    <row r="10" ht="15" customHeight="1" s="32">
      <c r="A10" s="52" t="inlineStr">
        <is>
          <t>Historias de usuario</t>
        </is>
      </c>
      <c r="B10" s="53" t="n">
        <v>24</v>
      </c>
      <c r="C10" s="53" t="n">
        <v>19</v>
      </c>
      <c r="D10" s="53">
        <f>B10-C10</f>
        <v/>
      </c>
      <c r="E10" s="53" t="n">
        <v>24</v>
      </c>
      <c r="F10" s="54">
        <f>MAX(0,B10-E10)</f>
        <v/>
      </c>
      <c r="G10" s="54">
        <f>IF(F10=0,"Cerrado","Pendiente")</f>
        <v/>
      </c>
      <c r="H10" s="49" t="inlineStr">
        <is>
          <t>Se cargaron HU-20 a HU-24, incorporadas por RFC-01 y RFC-03.</t>
        </is>
      </c>
    </row>
    <row r="11" ht="15" customHeight="1" s="32">
      <c r="A11" s="52" t="inlineStr">
        <is>
          <t>Filas de trazabilidad</t>
        </is>
      </c>
      <c r="B11" s="53" t="n">
        <v>73</v>
      </c>
      <c r="C11" s="53" t="n">
        <v>52</v>
      </c>
      <c r="D11" s="53">
        <f>B11-C11</f>
        <v/>
      </c>
      <c r="E11" s="53" t="n">
        <v>73</v>
      </c>
      <c r="F11" s="54">
        <f>MAX(0,B11-E11)</f>
        <v/>
      </c>
      <c r="G11" s="54">
        <f>IF(F11=0,"Cerrado","Pendiente")</f>
        <v/>
      </c>
      <c r="H11" s="49" t="inlineStr">
        <is>
          <t>Reexportadas tras las altas anteriores; la matriz y el tablero coinciden.</t>
        </is>
      </c>
    </row>
    <row r="13" ht="15" customHeight="1" s="32">
      <c r="A13" s="55" t="inlineStr">
        <is>
          <t>Índice declarado en la PE4 (histórico)</t>
        </is>
      </c>
      <c r="B13" s="56" t="n">
        <v>0.671</v>
      </c>
      <c r="H13" s="57" t="inlineStr">
        <is>
          <t>Cifra publicada al comenzar la Unidad V. Se calculó sobre un denominador incompleto: no contabilizaba los 19 RNF ni los 12 RNF-IA como elementos que el ERS especifica, porque en ese momento no se había detectado que faltaban del tablero. Se conserva por trazabilidad con el informe.</t>
        </is>
      </c>
    </row>
    <row r="14" ht="18.75" customHeight="1" s="32">
      <c r="A14" s="55" t="inlineStr">
        <is>
          <t>Índice inicial recalculado</t>
        </is>
      </c>
      <c r="B14" s="46">
        <f>1-SUM(D7:D11)/SUM(B7:B11)</f>
        <v/>
      </c>
      <c r="E14" s="58" t="n"/>
      <c r="H14" s="57" t="inlineStr">
        <is>
          <t>Mismo estado del tablero, denominador completo. El punto de partida real era peor que el declarado: el hallazgo de que los RNF no estaban cargados amplió el denominador de 48 a 79 stories.</t>
        </is>
      </c>
    </row>
    <row r="15" ht="19.4" customHeight="1" s="32">
      <c r="A15" s="55" t="inlineStr">
        <is>
          <t>Índice de sincronización actual</t>
        </is>
      </c>
      <c r="B15" s="59">
        <f>1-SUM(F7:F11)/SUM(B7:B11)</f>
        <v/>
      </c>
      <c r="H15" s="57" t="inlineStr">
        <is>
          <t>Estado tras la sincronización. Verificado sobre la exportación del tablero: todo elemento especificado en el ERS tiene su correspondencia en el tablero CASE.</t>
        </is>
      </c>
    </row>
    <row r="16" ht="15" customHeight="1" s="32">
      <c r="A16" s="31" t="n"/>
    </row>
    <row r="17" ht="15" customHeight="1" s="32"/>
    <row r="18" ht="15" customHeight="1" s="32"/>
  </sheetData>
  <mergeCells count="2">
    <mergeCell ref="A16:H18"/>
    <mergeCell ref="B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2026-08-17T14:31:09Z</dcterms:created>
  <dcterms:modified xmlns:dcterms="http://purl.org/dc/terms/" xmlns:xsi="http://www.w3.org/2001/XMLSchema-instance" xsi:type="dcterms:W3CDTF">2026-08-31T20:18:37Z</dcterms:modified>
  <cp:revision>0</cp:revision>
</cp:coreProperties>
</file>