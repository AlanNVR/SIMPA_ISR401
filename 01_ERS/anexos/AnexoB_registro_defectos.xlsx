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exoB_Registro" sheetId="1" state="visible" r:id="rId3"/>
  </sheets>
  <definedNames>
    <definedName function="false" hidden="true" localSheetId="0" name="_xlnm._FilterDatabase" vbProcedure="false">AnexoB_Registro!$A$19:$L$52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<sst xmlns="http://schemas.openxmlformats.org/spreadsheetml/2006/main" count="431" uniqueCount="216">
  <si>
    <t xml:space="preserve">ANEXO B — REGISTRO DE DEFECTOS DE LA INSPECCIÓN FORMAL (MÉTODO FAGAN)</t>
  </si>
  <si>
    <t xml:space="preserve">Documento inspeccionado</t>
  </si>
  <si>
    <t xml:space="preserve">ERS/SRS — SIMPA (Sistema Inteligente de Mantenimiento de Palma Africana), v3.0 / Entrega 2A</t>
  </si>
  <si>
    <t xml:space="preserve">Alcance inspeccionado</t>
  </si>
  <si>
    <t xml:space="preserve">§1 a §7 del ERS (pp. 8–70). Apéndices A–E excluidos.</t>
  </si>
  <si>
    <t xml:space="preserve">Páginas efectivas inspeccionadas</t>
  </si>
  <si>
    <t xml:space="preserve">Equipo</t>
  </si>
  <si>
    <t xml:space="preserve">Equipo B — Mora Duarte Alex José · Rizzo Vélez Edson Nagib · Villafuerte Rosero Allan Noe</t>
  </si>
  <si>
    <t xml:space="preserve">Asignatura</t>
  </si>
  <si>
    <t xml:space="preserve">Ingeniería de Requerimientos ISR-401 — PE4, Unidad IV — UTEQ</t>
  </si>
  <si>
    <t xml:space="preserve">Fecha de la reunión de inspección</t>
  </si>
  <si>
    <t xml:space="preserve">[completar el día de la sesión]</t>
  </si>
  <si>
    <t xml:space="preserve">Hora de inicio / cierre</t>
  </si>
  <si>
    <t xml:space="preserve">NOTA DE IDENTIFICADORES: los defectos se numeran DEF-01…DEF-33 y no D-01…D-33. El propio ERS ya usa D-01 a D-03 para las "desviaciones del prototipo" declaradas en su §6.4, de modo que reutilizar el prefijo D- produciría dos significados para el mismo código dentro de la misma entrega. La columna "Ref. lista de preparación" conserva el código original para poder rastrear cada fila hasta la lista de candidatos.</t>
  </si>
  <si>
    <t xml:space="preserve">CÓMO SE LLENA: las columnas A–H llegan ya cargadas con los candidatos verificados en el PDF del ERS. Durante la reunión, el Moderador marca "Confirmado en reunión" (S/N) por fila: solo las filas con S entran al Anexo B definitivo y alimentan las métricas. Las celdas con fondo amarillo son las que el equipo debe editar. La columna "Corrección aplicada" se llena DESPUÉS de la reunión (la inspección detecta, no corrige).</t>
  </si>
  <si>
    <t xml:space="preserve">N.º</t>
  </si>
  <si>
    <t xml:space="preserve">Ref. lista de preparación</t>
  </si>
  <si>
    <t xml:space="preserve">Sección del ERS</t>
  </si>
  <si>
    <t xml:space="preserve">Descripción del defecto</t>
  </si>
  <si>
    <t xml:space="preserve">Tipo</t>
  </si>
  <si>
    <t xml:space="preserve">Severidad</t>
  </si>
  <si>
    <t xml:space="preserve">Requisito afectado</t>
  </si>
  <si>
    <t xml:space="preserve">Detectado por (inspector)</t>
  </si>
  <si>
    <t xml:space="preserve">Confirmado en reunión (S/N)</t>
  </si>
  <si>
    <t xml:space="preserve">Corrección aplicada (texto después)</t>
  </si>
  <si>
    <t xml:space="preserve">Requisito modificado</t>
  </si>
  <si>
    <t xml:space="preserve">Estado</t>
  </si>
  <si>
    <t xml:space="preserve">DEF-01</t>
  </si>
  <si>
    <t xml:space="preserve">D-01</t>
  </si>
  <si>
    <t xml:space="preserve">§3 (intro)</t>
  </si>
  <si>
    <t xml:space="preserve">El encabezado de la §3 anuncia "9 restricciones de diseño"; la Tabla 64 y la §7.1 declaran 10 (RD-01 a RD-10).</t>
  </si>
  <si>
    <t xml:space="preserve">Consistencia</t>
  </si>
  <si>
    <t xml:space="preserve">Mayor</t>
  </si>
  <si>
    <t xml:space="preserve">RD-01 a RD-10</t>
  </si>
  <si>
    <t xml:space="preserve">Moderador</t>
  </si>
  <si>
    <t xml:space="preserve">S</t>
  </si>
  <si>
    <t xml:space="preserve">Corregido en las fuentes .tex del ERS v3.1; texto antes/después en la §5 del informe</t>
  </si>
  <si>
    <t xml:space="preserve">Corregido</t>
  </si>
  <si>
    <t xml:space="preserve">DEF-02</t>
  </si>
  <si>
    <t xml:space="preserve">D-02</t>
  </si>
  <si>
    <t xml:space="preserve">§5.1 vs §5.3.1</t>
  </si>
  <si>
    <t xml:space="preserve">La §5.1 declara una distribución MoSCoW de 21 Must, 16 Should y 2 Could (39 RF); la §5.3.1 declara 19 Must, 14 Should y 2 Could (35 RF). Las dos cifras no pueden ser ambas correctas.</t>
  </si>
  <si>
    <t xml:space="preserve">Crítico</t>
  </si>
  <si>
    <t xml:space="preserve">Todos los RF</t>
  </si>
  <si>
    <t xml:space="preserve">Inspector 2</t>
  </si>
  <si>
    <t xml:space="preserve">DEF-03</t>
  </si>
  <si>
    <t xml:space="preserve">D-03</t>
  </si>
  <si>
    <t xml:space="preserve">§5.3.3, Anexo C</t>
  </si>
  <si>
    <t xml:space="preserve">Ambos remiten a un archivo con "la tabla completa para los 35 requisitos funcionales", cuando el ERS especifica 39.</t>
  </si>
  <si>
    <t xml:space="preserve">RF-36 a RF-39</t>
  </si>
  <si>
    <t xml:space="preserve">DEF-04</t>
  </si>
  <si>
    <t xml:space="preserve">D-04</t>
  </si>
  <si>
    <t xml:space="preserve">§5.4, Tabla 69, §7.1, Anexo D</t>
  </si>
  <si>
    <t xml:space="preserve">El número de filas de la matriz de trazabilidad se declara alternativamente como 52 y como 48 dentro del mismo documento; el diccionario define TR-01 a TR-48.</t>
  </si>
  <si>
    <t xml:space="preserve">Matriz completa</t>
  </si>
  <si>
    <t xml:space="preserve">DEF-05</t>
  </si>
  <si>
    <t xml:space="preserve">D-05</t>
  </si>
  <si>
    <t xml:space="preserve">§2.2 vs §3.2</t>
  </si>
  <si>
    <t xml:space="preserve">La §2.2 agrupa las funciones del producto en seis bloques; la §3.2 desarrolla siete (Bloque I a Bloque VII).</t>
  </si>
  <si>
    <t xml:space="preserve">§3.2 completa</t>
  </si>
  <si>
    <t xml:space="preserve">DEF-06</t>
  </si>
  <si>
    <t xml:space="preserve">D-06</t>
  </si>
  <si>
    <t xml:space="preserve">Tabla 52 (RD-01)</t>
  </si>
  <si>
    <t xml:space="preserve">RD-01 se justifica con "el personal ya dispone de teléfono inteligente propio (EV-05, EV-06, EV-07)". La §2.7 declara esa suposición invalidada por EV-12 (11,3% no usa teléfono inteligente), y sobre esa invalidación se construyen RD-10 y RF-35. La justificación de RD-01 quedó sin actualizar.</t>
  </si>
  <si>
    <t xml:space="preserve">RD-01, RD-10, RF-35</t>
  </si>
  <si>
    <t xml:space="preserve">DEF-07</t>
  </si>
  <si>
    <t xml:space="preserve">D-07</t>
  </si>
  <si>
    <t xml:space="preserve">Tabla 52 (RD-02)</t>
  </si>
  <si>
    <t xml:space="preserve">RD-02 se justifica con "ninguna persona respondiente declaró señal permanente (EV-10)"; la §2.6 y la Tabla 7 reportan que el 25,8% sí declara señal siempre (EV-12).</t>
  </si>
  <si>
    <t xml:space="preserve">RD-02</t>
  </si>
  <si>
    <t xml:space="preserve">DEF-08</t>
  </si>
  <si>
    <t xml:space="preserve">D-08</t>
  </si>
  <si>
    <t xml:space="preserve">Tabla 78 vs Tabla 24</t>
  </si>
  <si>
    <t xml:space="preserve">El catálogo de evidencias atribuye a EV-13 el origen de RF-29, pero la ficha de RF-29 declara como origen EV-06 y EV-07 únicamente.</t>
  </si>
  <si>
    <t xml:space="preserve">RF-29</t>
  </si>
  <si>
    <t xml:space="preserve">Libre</t>
  </si>
  <si>
    <t xml:space="preserve">DEF-09</t>
  </si>
  <si>
    <t xml:space="preserve">D-09</t>
  </si>
  <si>
    <t xml:space="preserve">§5.2, §5.4.1 (Tabla 70)</t>
  </si>
  <si>
    <t xml:space="preserve">Se afirma que los 19 requisitos Must tienen historia de usuario y caso de uso (100%). Si los Must son 21, la cobertura declarada es falsa y quedan requisitos Must sin historia.</t>
  </si>
  <si>
    <t xml:space="preserve">RF-36, RF-37</t>
  </si>
  <si>
    <t xml:space="preserve">DEF-10</t>
  </si>
  <si>
    <t xml:space="preserve">D-10</t>
  </si>
  <si>
    <t xml:space="preserve">Tabla 68</t>
  </si>
  <si>
    <t xml:space="preserve">La tabla dice presentar los diez requisitos ordenados de forma descendente por WSJF, pero omite RF-05 y RF-30, a los que la Tabla 71 asigna WSJF 4,80, superior a ocho de los diez listados.</t>
  </si>
  <si>
    <t xml:space="preserve">RF-05, RF-30</t>
  </si>
  <si>
    <t xml:space="preserve">DEF-11</t>
  </si>
  <si>
    <t xml:space="preserve">D-11</t>
  </si>
  <si>
    <t xml:space="preserve">§5.3.3</t>
  </si>
  <si>
    <t xml:space="preserve">La lectura del resultado afirma que RF-35 y RF-10 encabezan el orden con WSJF 7,00, pero RF-10 no figura en la Tabla 68; su valor solo aparece en la Tabla 71.</t>
  </si>
  <si>
    <t xml:space="preserve">RF-10</t>
  </si>
  <si>
    <t xml:space="preserve">DEF-12</t>
  </si>
  <si>
    <t xml:space="preserve">D-12</t>
  </si>
  <si>
    <t xml:space="preserve">Tabla 51 (§3.4)</t>
  </si>
  <si>
    <t xml:space="preserve">RL-04, RL-05 y RL-06 enuncian obligaciones de la LOPDP (exportación de datos personales, rectificación con bitácora, supresión al término de la relación laboral) sin ningún requisito funcional en la §3.2 que las implemente.</t>
  </si>
  <si>
    <t xml:space="preserve">Completitud</t>
  </si>
  <si>
    <t xml:space="preserve">RL-04, RL-05, RL-06</t>
  </si>
  <si>
    <t xml:space="preserve">Tramitado ante el CCB como RFC-03; la corrección se implementa en v3.1 tras la decisión del acta</t>
  </si>
  <si>
    <t xml:space="preserve">DEF-13</t>
  </si>
  <si>
    <t xml:space="preserve">D-13</t>
  </si>
  <si>
    <t xml:space="preserve">§5.2</t>
  </si>
  <si>
    <t xml:space="preserve">RF-36 y RF-37, clasificados Must en sus fichas, no tienen historia de usuario ni criterio de aceptación entre HU-01 y HU-19, pese a que la §5.2 declara cubrir todos los Must.</t>
  </si>
  <si>
    <t xml:space="preserve">Tramitado ante el CCB como RFC-01; la corrección se implementa en v3.1 tras la decisión del acta</t>
  </si>
  <si>
    <t xml:space="preserve">DEF-14</t>
  </si>
  <si>
    <t xml:space="preserve">D-14</t>
  </si>
  <si>
    <t xml:space="preserve">§1.2.3</t>
  </si>
  <si>
    <t xml:space="preserve">La lista de funcionalidades principales omite el ciclo de liquidación semanal (RF-36 a RF-39), que la §7.2 califica como proceso central de la organización.</t>
  </si>
  <si>
    <t xml:space="preserve">Menor</t>
  </si>
  <si>
    <t xml:space="preserve">DEF-15</t>
  </si>
  <si>
    <t xml:space="preserve">D-15</t>
  </si>
  <si>
    <t xml:space="preserve">Tabla 73 (L-06)</t>
  </si>
  <si>
    <t xml:space="preserve">L-06 declara que las sesiones de walkthrough son inferiores a las tres exigidas y que "se declara el número efectivo"; ese número no se declara en ninguna parte del documento.</t>
  </si>
  <si>
    <t xml:space="preserve">—</t>
  </si>
  <si>
    <t xml:space="preserve">DEF-16</t>
  </si>
  <si>
    <t xml:space="preserve">D-16</t>
  </si>
  <si>
    <t xml:space="preserve">§3.3</t>
  </si>
  <si>
    <t xml:space="preserve">Se afirma que los RNF cubren las nueve características de ISO/IEC 25010:2023, pero se emplea "Portabilidad" como característica de primer nivel (en la edición 2023 es subcaracterística de Flexibilidad) y no se especifica ningún requisito para Seguridad física (Safety).</t>
  </si>
  <si>
    <t xml:space="preserve">RNF-17, RNF-18</t>
  </si>
  <si>
    <t xml:space="preserve">Inspector 1</t>
  </si>
  <si>
    <t xml:space="preserve">Tramitado ante el CCB como RFC-02; la corrección se implementa en v3.1 tras la decisión del acta</t>
  </si>
  <si>
    <t xml:space="preserve">DEF-17</t>
  </si>
  <si>
    <t xml:space="preserve">D-17</t>
  </si>
  <si>
    <t xml:space="preserve">Tabla 39 (RF-12)</t>
  </si>
  <si>
    <t xml:space="preserve">El requisito incluye "condiciones anómalas" como disparador de alerta sin definir qué constituye una condición anómala; el criterio de verificación solo cubre el caso del diagnóstico positivo.</t>
  </si>
  <si>
    <t xml:space="preserve">Verificabilidad</t>
  </si>
  <si>
    <t xml:space="preserve">RF-12</t>
  </si>
  <si>
    <t xml:space="preserve">Lector</t>
  </si>
  <si>
    <t xml:space="preserve">DEF-18</t>
  </si>
  <si>
    <t xml:space="preserve">D-18</t>
  </si>
  <si>
    <t xml:space="preserve">Tabla 34 (RF-16)</t>
  </si>
  <si>
    <t xml:space="preserve">No se define la fórmula, las variables ni la escala del "indicador de desempeño". El criterio de verificación ("el sistema calcula un indicador") es tautológico: cualquier salida lo satisface.</t>
  </si>
  <si>
    <t xml:space="preserve">RF-16</t>
  </si>
  <si>
    <t xml:space="preserve">DEF-19</t>
  </si>
  <si>
    <t xml:space="preserve">D-19</t>
  </si>
  <si>
    <t xml:space="preserve">Tabla 45 (RF-18)</t>
  </si>
  <si>
    <t xml:space="preserve">La estimación de producción carece de tolerancia, margen de error o valor de referencia, por lo que ningún resultado puede declararse incorrecto.</t>
  </si>
  <si>
    <t xml:space="preserve">RF-18</t>
  </si>
  <si>
    <t xml:space="preserve">DEF-20</t>
  </si>
  <si>
    <t xml:space="preserve">D-20</t>
  </si>
  <si>
    <t xml:space="preserve">Tabla 49 (RNF-10)</t>
  </si>
  <si>
    <t xml:space="preserve">Una disponibilidad mensual ≥99% equivale a un máximo de 7 h 12 min de indisponibilidad (720 h × 1%), no a las 7 h 18 min declaradas.</t>
  </si>
  <si>
    <t xml:space="preserve">RNF-10</t>
  </si>
  <si>
    <t xml:space="preserve">DEF-21</t>
  </si>
  <si>
    <t xml:space="preserve">D-21</t>
  </si>
  <si>
    <t xml:space="preserve">Tabla 49 (RNF-03)</t>
  </si>
  <si>
    <t xml:space="preserve">Se fijan 50 sesiones concurrentes sin justificación; la población declarada es de 62 personas con conectividad mayoritariamente intermitente (74,2% sin señal permanente), lo que no sustenta ese valor.</t>
  </si>
  <si>
    <t xml:space="preserve">RNF-03</t>
  </si>
  <si>
    <t xml:space="preserve">DEF-22</t>
  </si>
  <si>
    <t xml:space="preserve">D-22</t>
  </si>
  <si>
    <t xml:space="preserve">Tabla 35 (RF-07)</t>
  </si>
  <si>
    <t xml:space="preserve">La precondición exige que "la imagen cumple los requisitos mínimos de calidad", pero esos requisitos no se especifican en ninguna sección del documento.</t>
  </si>
  <si>
    <t xml:space="preserve">Ambigüedad</t>
  </si>
  <si>
    <t xml:space="preserve">RF-07, RF-08, RF-21</t>
  </si>
  <si>
    <t xml:space="preserve">DEF-23</t>
  </si>
  <si>
    <t xml:space="preserve">D-23</t>
  </si>
  <si>
    <t xml:space="preserve">Tabla 40 (RF-22)</t>
  </si>
  <si>
    <t xml:space="preserve">La descripción exige alertar cuando el porcentaje "se aproxime al umbral", sin cuantificar la proximidad; el criterio de verificación usa "alcance o supere", que es una condición distinta y posterior.</t>
  </si>
  <si>
    <t xml:space="preserve">RF-22</t>
  </si>
  <si>
    <t xml:space="preserve">DEF-24</t>
  </si>
  <si>
    <t xml:space="preserve">D-24</t>
  </si>
  <si>
    <t xml:space="preserve">Tabla 43 (RF-25) / Tabla 52 (RD-08)</t>
  </si>
  <si>
    <t xml:space="preserve">"El valor recomendado para la variedad" no está tabulado en ninguna parte. La única cifra aparece en la leyenda de la Figura 10 ("24 h híbrido / menor en guineensis"), sin valor concreto para guineensis.</t>
  </si>
  <si>
    <t xml:space="preserve">RF-25, RD-08</t>
  </si>
  <si>
    <t xml:space="preserve">DEF-25</t>
  </si>
  <si>
    <t xml:space="preserve">D-25</t>
  </si>
  <si>
    <t xml:space="preserve">Tabla 37 (RF-09)</t>
  </si>
  <si>
    <t xml:space="preserve">Se exige recomendar la acción de control "según la etapa del insecto", pero las etapas del ciclo no están enumeradas ni acotadas; el criterio de verificación solo ejemplifica dos (adulto y larval).</t>
  </si>
  <si>
    <t xml:space="preserve">RF-09</t>
  </si>
  <si>
    <t xml:space="preserve">No corregido. Requiere el ciclo biológico de cada plaga, dato entomológico ausente en las 13 evidencias; consulta programada a la asesoría técnica antes de la Entrega 4</t>
  </si>
  <si>
    <t xml:space="preserve">No corregido (justificado)</t>
  </si>
  <si>
    <t xml:space="preserve">DEF-26</t>
  </si>
  <si>
    <t xml:space="preserve">D-26</t>
  </si>
  <si>
    <t xml:space="preserve">Tabla 69 vs Tabla 57</t>
  </si>
  <si>
    <t xml:space="preserve">La matriz enlaza RF-16, RF-17 y RF-20 a CU-05, pero la especificación textual de CU-05 declara únicamente RF-19 y RF-26. La trazabilidad no cierra en sentido inverso.</t>
  </si>
  <si>
    <t xml:space="preserve">Trazabilidad</t>
  </si>
  <si>
    <t xml:space="preserve">RF-16, RF-17, RF-20</t>
  </si>
  <si>
    <t xml:space="preserve">DEF-27</t>
  </si>
  <si>
    <t xml:space="preserve">D-27</t>
  </si>
  <si>
    <t xml:space="preserve">Tabla 69 vs Tabla 9</t>
  </si>
  <si>
    <t xml:space="preserve">La matriz asocia RF-29 y RF-36 a RF-39 con el prototipo MU-02, mientras que la Tabla 9 declara que MU-02 soporta únicamente RF-12, RF-19 y RF-26.</t>
  </si>
  <si>
    <t xml:space="preserve">RF-29, RF-36 a RF-39</t>
  </si>
  <si>
    <t xml:space="preserve">DEF-28</t>
  </si>
  <si>
    <t xml:space="preserve">D-28</t>
  </si>
  <si>
    <t xml:space="preserve">§1.4 y Referencias</t>
  </si>
  <si>
    <t xml:space="preserve">Se declara que el documento cita 31 fuentes primarias; las entradas [27], [28], [30] y [31] figuran en la lista de referencias sin aparecer citadas en el texto.</t>
  </si>
  <si>
    <t xml:space="preserve">DEF-29</t>
  </si>
  <si>
    <t xml:space="preserve">D-29</t>
  </si>
  <si>
    <t xml:space="preserve">Tabla 78 vs portada</t>
  </si>
  <si>
    <t xml:space="preserve">EV-13 se fecha entre el 03 y el 07/08/2026, es decir, con recolección posterior a la fecha de versión del propio documento (03/08/2026).</t>
  </si>
  <si>
    <t xml:space="preserve">DEF-30</t>
  </si>
  <si>
    <t xml:space="preserve">D-30</t>
  </si>
  <si>
    <t xml:space="preserve">Tabla 49 (RNF-01, RNF-02)</t>
  </si>
  <si>
    <t xml:space="preserve">Los valores objetivo se verifican sobre un conjunto etiquetado de ≥200 imágenes que L-05 declara inexistente, y el documento no incorpora en el alcance de la versión ningún plan de construcción de ese conjunto.</t>
  </si>
  <si>
    <t xml:space="preserve">Factibilidad</t>
  </si>
  <si>
    <t xml:space="preserve">RNF-01, RNF-02</t>
  </si>
  <si>
    <t xml:space="preserve">DEF-31</t>
  </si>
  <si>
    <t xml:space="preserve">D-31</t>
  </si>
  <si>
    <t xml:space="preserve">§3.2.4 (RF-14) / Tabla 49 (RNF-05)</t>
  </si>
  <si>
    <t xml:space="preserve">RF-14 exige derivar el conteo de flores planta por planta a partir de marcaciones GPS y RNF-05 admite una precisión de hasta 10 m. El ERS no declara la distancia entre palmas, por lo que no es posible evaluar si esa precisión discrimina una planta de la siguiente.</t>
  </si>
  <si>
    <t xml:space="preserve">RF-14, RNF-05</t>
  </si>
  <si>
    <t xml:space="preserve">DEF-32</t>
  </si>
  <si>
    <t xml:space="preserve">D-32</t>
  </si>
  <si>
    <t xml:space="preserve">Tabla 73</t>
  </si>
  <si>
    <t xml:space="preserve">Los identificadores de limitación no siguen orden correlativo (L-01…L-07, L-10, L-11, L-08, L-09) y L-07 se declara "Resuelta" pero permanece listada como limitación vigente.</t>
  </si>
  <si>
    <t xml:space="preserve">DEF-33</t>
  </si>
  <si>
    <t xml:space="preserve">D-33</t>
  </si>
  <si>
    <t xml:space="preserve">§6.1.1 (Tabla 71)</t>
  </si>
  <si>
    <t xml:space="preserve">La tabla se titula "cobertura sobre los requisitos funcionales Must" pero incluye RF-20 y RF-15, que sus fichas clasifican como Should. El denominador de 19 y la cobertura del 47,4% quedan comprometidos.</t>
  </si>
  <si>
    <t xml:space="preserve">RF-15, RF-20</t>
  </si>
  <si>
    <t xml:space="preserve">Totales (solo filas confirmadas con S)</t>
  </si>
  <si>
    <t xml:space="preserve">Defectos confirmados</t>
  </si>
  <si>
    <t xml:space="preserve">Críticos</t>
  </si>
  <si>
    <t xml:space="preserve">Mayores</t>
  </si>
  <si>
    <t xml:space="preserve">Menores</t>
  </si>
  <si>
    <t xml:space="preserve">Críticos + mayores corregidos</t>
  </si>
  <si>
    <t xml:space="preserve">Tasa de corrección de críticos y mayores</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</si>
</sst>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3"/>
      <name val="Times New Roman"/>
      <family val="0"/>
      <charset val="1"/>
    </font>
    <font>
      <b val="true"/>
      <sz val="10"/>
      <name val="Times New Roman"/>
      <family val="0"/>
      <charset val="1"/>
    </font>
    <font>
      <sz val="10"/>
      <name val="Times New Roman"/>
      <family val="0"/>
      <charset val="1"/>
    </font>
    <font>
      <i val="true"/>
      <sz val="9"/>
      <name val="Times New Roman"/>
      <family val="0"/>
      <charset val="1"/>
    </font>
    <font>
      <sz val="9"/>
      <name val="Times New Roman"/>
      <family val="0"/>
      <charset val="1"/>
    </font>
  </fonts>
  <fills count="4">
    <fill>
      <patternFill patternType="none"/>
    </fill>
    <fill>
      <patternFill patternType="gray125"/>
    </fill>
    <fill>
      <patternFill patternType="solid">
        <fgColor rgb="FFFFF2CC"/>
        <bgColor rgb="FFFFFFFF"/>
      </patternFill>
    </fill>
    <fill>
      <patternFill patternType="solid">
        <fgColor rgb="FFD9D9D9"/>
        <bgColor rgb="FFC0C0C0"/>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20"/>
    <col collapsed="false" customWidth="true" hidden="false" outlineLevel="0" max="4" min="4" style="1" width="62"/>
    <col collapsed="false" customWidth="true" hidden="false" outlineLevel="0" max="5" min="5" style="1" width="14"/>
    <col collapsed="false" customWidth="true" hidden="false" outlineLevel="0" max="6" min="6" style="1" width="11"/>
    <col collapsed="false" customWidth="true" hidden="false" outlineLevel="0" max="7" min="7" style="1" width="20"/>
    <col collapsed="false" customWidth="true" hidden="false" outlineLevel="0" max="8" min="8" style="1" width="14"/>
    <col collapsed="false" customWidth="true" hidden="false" outlineLevel="0" max="9" min="9" style="1" width="12"/>
    <col collapsed="false" customWidth="true" hidden="false" outlineLevel="0" max="10" min="10" style="1" width="42"/>
    <col collapsed="false" customWidth="true" hidden="false" outlineLevel="0" max="11" min="11" style="1" width="14"/>
    <col collapsed="false" customWidth="true" hidden="false" outlineLevel="0" max="12" min="12" style="1" width="12"/>
  </cols>
  <sheetData>
    <row r="1" customFormat="false" ht="15.75" hidden="false" customHeight="true" outlineLevel="0" collapsed="false">
      <c r="A1" s="2" t="s">
        <v>0</v>
      </c>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5" t="n">
        <v>63</v>
      </c>
    </row>
    <row r="6" customFormat="false" ht="15" hidden="false" customHeight="true" outlineLevel="0" collapsed="false">
      <c r="A6" s="3" t="s">
        <v>6</v>
      </c>
      <c r="B6" s="4" t="s">
        <v>7</v>
      </c>
    </row>
    <row r="7" customFormat="false" ht="15" hidden="false" customHeight="true" outlineLevel="0" collapsed="false">
      <c r="A7" s="3" t="s">
        <v>8</v>
      </c>
      <c r="B7" s="4" t="s">
        <v>9</v>
      </c>
    </row>
    <row r="8" customFormat="false" ht="15" hidden="false" customHeight="true" outlineLevel="0" collapsed="false">
      <c r="A8" s="3" t="s">
        <v>10</v>
      </c>
      <c r="B8" s="5" t="s">
        <v>11</v>
      </c>
    </row>
    <row r="9" customFormat="false" ht="15" hidden="false" customHeight="true" outlineLevel="0" collapsed="false">
      <c r="A9" s="3" t="s">
        <v>12</v>
      </c>
      <c r="B9" s="5" t="s">
        <v>11</v>
      </c>
    </row>
    <row r="11" customFormat="false" ht="15" hidden="false" customHeight="true" outlineLevel="0" collapsed="false">
      <c r="A11" s="6" t="s">
        <v>13</v>
      </c>
      <c r="B11" s="6"/>
      <c r="C11" s="6"/>
      <c r="D11" s="6"/>
      <c r="E11" s="6"/>
      <c r="F11" s="6"/>
      <c r="G11" s="6"/>
      <c r="H11" s="6"/>
    </row>
    <row r="12" customFormat="false" ht="15" hidden="false" customHeight="true" outlineLevel="0" collapsed="false">
      <c r="A12" s="6"/>
      <c r="B12" s="6"/>
      <c r="C12" s="6"/>
      <c r="D12" s="6"/>
      <c r="E12" s="6"/>
      <c r="F12" s="6"/>
      <c r="G12" s="6"/>
      <c r="H12" s="6"/>
    </row>
    <row r="13" customFormat="false" ht="15" hidden="false" customHeight="true" outlineLevel="0" collapsed="false">
      <c r="A13" s="6"/>
      <c r="B13" s="6"/>
      <c r="C13" s="6"/>
      <c r="D13" s="6"/>
      <c r="E13" s="6"/>
      <c r="F13" s="6"/>
      <c r="G13" s="6"/>
      <c r="H13" s="6"/>
    </row>
    <row r="15" customFormat="false" ht="15" hidden="false" customHeight="true" outlineLevel="0" collapsed="false">
      <c r="A15" s="6" t="s">
        <v>14</v>
      </c>
      <c r="B15" s="6"/>
      <c r="C15" s="6"/>
      <c r="D15" s="6"/>
      <c r="E15" s="6"/>
      <c r="F15" s="6"/>
      <c r="G15" s="6"/>
      <c r="H15" s="6"/>
    </row>
    <row r="16" customFormat="false" ht="15" hidden="false" customHeight="true" outlineLevel="0" collapsed="false">
      <c r="A16" s="6"/>
      <c r="B16" s="6"/>
      <c r="C16" s="6"/>
      <c r="D16" s="6"/>
      <c r="E16" s="6"/>
      <c r="F16" s="6"/>
      <c r="G16" s="6"/>
      <c r="H16" s="6"/>
    </row>
    <row r="17" customFormat="false" ht="15" hidden="false" customHeight="true" outlineLevel="0" collapsed="false">
      <c r="A17" s="6"/>
      <c r="B17" s="6"/>
      <c r="C17" s="6"/>
      <c r="D17" s="6"/>
      <c r="E17" s="6"/>
      <c r="F17" s="6"/>
      <c r="G17" s="6"/>
      <c r="H17" s="6"/>
    </row>
    <row r="19" customFormat="false" ht="45.75" hidden="false" customHeight="true" outlineLevel="0" collapsed="false">
      <c r="A19" s="7" t="s">
        <v>15</v>
      </c>
      <c r="B19" s="7" t="s">
        <v>16</v>
      </c>
      <c r="C19" s="7" t="s">
        <v>17</v>
      </c>
      <c r="D19" s="7" t="s">
        <v>18</v>
      </c>
      <c r="E19" s="7" t="s">
        <v>19</v>
      </c>
      <c r="F19" s="7" t="s">
        <v>20</v>
      </c>
      <c r="G19" s="7" t="s">
        <v>21</v>
      </c>
      <c r="H19" s="7" t="s">
        <v>22</v>
      </c>
      <c r="I19" s="7" t="s">
        <v>23</v>
      </c>
      <c r="J19" s="7" t="s">
        <v>24</v>
      </c>
      <c r="K19" s="7" t="s">
        <v>25</v>
      </c>
      <c r="L19" s="7" t="s">
        <v>26</v>
      </c>
    </row>
    <row r="20" customFormat="false" ht="21.75" hidden="false" customHeight="true" outlineLevel="0" collapsed="false">
      <c r="A20" s="8" t="s">
        <v>27</v>
      </c>
      <c r="B20" s="9" t="s">
        <v>28</v>
      </c>
      <c r="C20" s="9" t="s">
        <v>29</v>
      </c>
      <c r="D20" s="9" t="s">
        <v>30</v>
      </c>
      <c r="E20" s="8" t="s">
        <v>31</v>
      </c>
      <c r="F20" s="8" t="s">
        <v>32</v>
      </c>
      <c r="G20" s="9" t="s">
        <v>33</v>
      </c>
      <c r="H20" s="10" t="s">
        <v>34</v>
      </c>
      <c r="I20" s="11" t="s">
        <v>35</v>
      </c>
      <c r="J20" s="10" t="s">
        <v>36</v>
      </c>
      <c r="K20" s="10" t="s">
        <v>33</v>
      </c>
      <c r="L20" s="11" t="s">
        <v>37</v>
      </c>
    </row>
    <row r="21" customFormat="false" ht="32.25" hidden="false" customHeight="true" outlineLevel="0" collapsed="false">
      <c r="A21" s="8" t="s">
        <v>38</v>
      </c>
      <c r="B21" s="9" t="s">
        <v>39</v>
      </c>
      <c r="C21" s="9" t="s">
        <v>40</v>
      </c>
      <c r="D21" s="9" t="s">
        <v>41</v>
      </c>
      <c r="E21" s="8" t="s">
        <v>31</v>
      </c>
      <c r="F21" s="8" t="s">
        <v>42</v>
      </c>
      <c r="G21" s="9" t="s">
        <v>43</v>
      </c>
      <c r="H21" s="10" t="s">
        <v>44</v>
      </c>
      <c r="I21" s="11" t="s">
        <v>35</v>
      </c>
      <c r="J21" s="10" t="s">
        <v>36</v>
      </c>
      <c r="K21" s="10" t="s">
        <v>43</v>
      </c>
      <c r="L21" s="11" t="s">
        <v>37</v>
      </c>
    </row>
    <row r="22" customFormat="false" ht="21.75" hidden="false" customHeight="true" outlineLevel="0" collapsed="false">
      <c r="A22" s="8" t="s">
        <v>45</v>
      </c>
      <c r="B22" s="9" t="s">
        <v>46</v>
      </c>
      <c r="C22" s="9" t="s">
        <v>47</v>
      </c>
      <c r="D22" s="9" t="s">
        <v>48</v>
      </c>
      <c r="E22" s="8" t="s">
        <v>31</v>
      </c>
      <c r="F22" s="8" t="s">
        <v>32</v>
      </c>
      <c r="G22" s="9" t="s">
        <v>49</v>
      </c>
      <c r="H22" s="10" t="s">
        <v>44</v>
      </c>
      <c r="I22" s="11" t="s">
        <v>35</v>
      </c>
      <c r="J22" s="10" t="s">
        <v>36</v>
      </c>
      <c r="K22" s="10" t="s">
        <v>49</v>
      </c>
      <c r="L22" s="11" t="s">
        <v>37</v>
      </c>
    </row>
    <row r="23" customFormat="false" ht="21.75" hidden="false" customHeight="true" outlineLevel="0" collapsed="false">
      <c r="A23" s="8" t="s">
        <v>50</v>
      </c>
      <c r="B23" s="9" t="s">
        <v>51</v>
      </c>
      <c r="C23" s="9" t="s">
        <v>52</v>
      </c>
      <c r="D23" s="9" t="s">
        <v>53</v>
      </c>
      <c r="E23" s="8" t="s">
        <v>31</v>
      </c>
      <c r="F23" s="8" t="s">
        <v>32</v>
      </c>
      <c r="G23" s="9" t="s">
        <v>54</v>
      </c>
      <c r="H23" s="10" t="s">
        <v>44</v>
      </c>
      <c r="I23" s="11" t="s">
        <v>35</v>
      </c>
      <c r="J23" s="10" t="s">
        <v>36</v>
      </c>
      <c r="K23" s="10" t="s">
        <v>54</v>
      </c>
      <c r="L23" s="11" t="s">
        <v>37</v>
      </c>
    </row>
    <row r="24" customFormat="false" ht="21.75" hidden="false" customHeight="true" outlineLevel="0" collapsed="false">
      <c r="A24" s="8" t="s">
        <v>55</v>
      </c>
      <c r="B24" s="9" t="s">
        <v>56</v>
      </c>
      <c r="C24" s="9" t="s">
        <v>57</v>
      </c>
      <c r="D24" s="9" t="s">
        <v>58</v>
      </c>
      <c r="E24" s="8" t="s">
        <v>31</v>
      </c>
      <c r="F24" s="8" t="s">
        <v>32</v>
      </c>
      <c r="G24" s="9" t="s">
        <v>59</v>
      </c>
      <c r="H24" s="10" t="s">
        <v>44</v>
      </c>
      <c r="I24" s="11" t="s">
        <v>35</v>
      </c>
      <c r="J24" s="10" t="s">
        <v>36</v>
      </c>
      <c r="K24" s="10" t="s">
        <v>59</v>
      </c>
      <c r="L24" s="11" t="s">
        <v>37</v>
      </c>
    </row>
    <row r="25" customFormat="false" ht="42.75" hidden="false" customHeight="true" outlineLevel="0" collapsed="false">
      <c r="A25" s="8" t="s">
        <v>60</v>
      </c>
      <c r="B25" s="9" t="s">
        <v>61</v>
      </c>
      <c r="C25" s="9" t="s">
        <v>62</v>
      </c>
      <c r="D25" s="9" t="s">
        <v>63</v>
      </c>
      <c r="E25" s="8" t="s">
        <v>31</v>
      </c>
      <c r="F25" s="8" t="s">
        <v>42</v>
      </c>
      <c r="G25" s="9" t="s">
        <v>64</v>
      </c>
      <c r="H25" s="10" t="s">
        <v>34</v>
      </c>
      <c r="I25" s="11" t="s">
        <v>35</v>
      </c>
      <c r="J25" s="10" t="s">
        <v>36</v>
      </c>
      <c r="K25" s="10" t="s">
        <v>64</v>
      </c>
      <c r="L25" s="11" t="s">
        <v>37</v>
      </c>
    </row>
    <row r="26" customFormat="false" ht="21.75" hidden="false" customHeight="true" outlineLevel="0" collapsed="false">
      <c r="A26" s="8" t="s">
        <v>65</v>
      </c>
      <c r="B26" s="9" t="s">
        <v>66</v>
      </c>
      <c r="C26" s="9" t="s">
        <v>67</v>
      </c>
      <c r="D26" s="9" t="s">
        <v>68</v>
      </c>
      <c r="E26" s="8" t="s">
        <v>31</v>
      </c>
      <c r="F26" s="8" t="s">
        <v>32</v>
      </c>
      <c r="G26" s="9" t="s">
        <v>69</v>
      </c>
      <c r="H26" s="10" t="s">
        <v>34</v>
      </c>
      <c r="I26" s="11" t="s">
        <v>35</v>
      </c>
      <c r="J26" s="10" t="s">
        <v>36</v>
      </c>
      <c r="K26" s="10" t="s">
        <v>69</v>
      </c>
      <c r="L26" s="11" t="s">
        <v>37</v>
      </c>
    </row>
    <row r="27" customFormat="false" ht="21.75" hidden="false" customHeight="true" outlineLevel="0" collapsed="false">
      <c r="A27" s="8" t="s">
        <v>70</v>
      </c>
      <c r="B27" s="9" t="s">
        <v>71</v>
      </c>
      <c r="C27" s="9" t="s">
        <v>72</v>
      </c>
      <c r="D27" s="9" t="s">
        <v>73</v>
      </c>
      <c r="E27" s="8" t="s">
        <v>31</v>
      </c>
      <c r="F27" s="8" t="s">
        <v>32</v>
      </c>
      <c r="G27" s="9" t="s">
        <v>74</v>
      </c>
      <c r="H27" s="10" t="s">
        <v>75</v>
      </c>
      <c r="I27" s="11" t="s">
        <v>35</v>
      </c>
      <c r="J27" s="10" t="s">
        <v>36</v>
      </c>
      <c r="K27" s="10" t="s">
        <v>74</v>
      </c>
      <c r="L27" s="11" t="s">
        <v>37</v>
      </c>
    </row>
    <row r="28" customFormat="false" ht="21.75" hidden="false" customHeight="true" outlineLevel="0" collapsed="false">
      <c r="A28" s="8" t="s">
        <v>76</v>
      </c>
      <c r="B28" s="9" t="s">
        <v>77</v>
      </c>
      <c r="C28" s="9" t="s">
        <v>78</v>
      </c>
      <c r="D28" s="9" t="s">
        <v>79</v>
      </c>
      <c r="E28" s="8" t="s">
        <v>31</v>
      </c>
      <c r="F28" s="8" t="s">
        <v>42</v>
      </c>
      <c r="G28" s="9" t="s">
        <v>80</v>
      </c>
      <c r="H28" s="10" t="s">
        <v>44</v>
      </c>
      <c r="I28" s="11" t="s">
        <v>35</v>
      </c>
      <c r="J28" s="10" t="s">
        <v>36</v>
      </c>
      <c r="K28" s="10" t="s">
        <v>80</v>
      </c>
      <c r="L28" s="11" t="s">
        <v>37</v>
      </c>
    </row>
    <row r="29" customFormat="false" ht="32.25" hidden="false" customHeight="true" outlineLevel="0" collapsed="false">
      <c r="A29" s="8" t="s">
        <v>81</v>
      </c>
      <c r="B29" s="9" t="s">
        <v>82</v>
      </c>
      <c r="C29" s="9" t="s">
        <v>83</v>
      </c>
      <c r="D29" s="9" t="s">
        <v>84</v>
      </c>
      <c r="E29" s="8" t="s">
        <v>31</v>
      </c>
      <c r="F29" s="8" t="s">
        <v>32</v>
      </c>
      <c r="G29" s="9" t="s">
        <v>85</v>
      </c>
      <c r="H29" s="10" t="s">
        <v>44</v>
      </c>
      <c r="I29" s="11" t="s">
        <v>35</v>
      </c>
      <c r="J29" s="10" t="s">
        <v>36</v>
      </c>
      <c r="K29" s="10" t="s">
        <v>85</v>
      </c>
      <c r="L29" s="11" t="s">
        <v>37</v>
      </c>
    </row>
    <row r="30" customFormat="false" ht="21.75" hidden="false" customHeight="true" outlineLevel="0" collapsed="false">
      <c r="A30" s="8" t="s">
        <v>86</v>
      </c>
      <c r="B30" s="9" t="s">
        <v>87</v>
      </c>
      <c r="C30" s="9" t="s">
        <v>88</v>
      </c>
      <c r="D30" s="9" t="s">
        <v>89</v>
      </c>
      <c r="E30" s="8" t="s">
        <v>31</v>
      </c>
      <c r="F30" s="8" t="s">
        <v>32</v>
      </c>
      <c r="G30" s="9" t="s">
        <v>90</v>
      </c>
      <c r="H30" s="10" t="s">
        <v>44</v>
      </c>
      <c r="I30" s="11" t="s">
        <v>35</v>
      </c>
      <c r="J30" s="10" t="s">
        <v>36</v>
      </c>
      <c r="K30" s="10" t="s">
        <v>90</v>
      </c>
      <c r="L30" s="11" t="s">
        <v>37</v>
      </c>
    </row>
    <row r="31" customFormat="false" ht="32.25" hidden="false" customHeight="true" outlineLevel="0" collapsed="false">
      <c r="A31" s="8" t="s">
        <v>91</v>
      </c>
      <c r="B31" s="9" t="s">
        <v>92</v>
      </c>
      <c r="C31" s="9" t="s">
        <v>93</v>
      </c>
      <c r="D31" s="9" t="s">
        <v>94</v>
      </c>
      <c r="E31" s="8" t="s">
        <v>95</v>
      </c>
      <c r="F31" s="8" t="s">
        <v>32</v>
      </c>
      <c r="G31" s="9" t="s">
        <v>96</v>
      </c>
      <c r="H31" s="10" t="s">
        <v>75</v>
      </c>
      <c r="I31" s="11" t="s">
        <v>35</v>
      </c>
      <c r="J31" s="10" t="s">
        <v>97</v>
      </c>
      <c r="K31" s="10" t="s">
        <v>96</v>
      </c>
      <c r="L31" s="11" t="s">
        <v>37</v>
      </c>
    </row>
    <row r="32" customFormat="false" ht="21.75" hidden="false" customHeight="true" outlineLevel="0" collapsed="false">
      <c r="A32" s="8" t="s">
        <v>98</v>
      </c>
      <c r="B32" s="9" t="s">
        <v>99</v>
      </c>
      <c r="C32" s="9" t="s">
        <v>100</v>
      </c>
      <c r="D32" s="9" t="s">
        <v>101</v>
      </c>
      <c r="E32" s="8" t="s">
        <v>95</v>
      </c>
      <c r="F32" s="8" t="s">
        <v>42</v>
      </c>
      <c r="G32" s="9" t="s">
        <v>80</v>
      </c>
      <c r="H32" s="10" t="s">
        <v>44</v>
      </c>
      <c r="I32" s="11" t="s">
        <v>35</v>
      </c>
      <c r="J32" s="10" t="s">
        <v>102</v>
      </c>
      <c r="K32" s="10" t="s">
        <v>80</v>
      </c>
      <c r="L32" s="11" t="s">
        <v>37</v>
      </c>
    </row>
    <row r="33" customFormat="false" ht="21.75" hidden="false" customHeight="true" outlineLevel="0" collapsed="false">
      <c r="A33" s="8" t="s">
        <v>103</v>
      </c>
      <c r="B33" s="9" t="s">
        <v>104</v>
      </c>
      <c r="C33" s="9" t="s">
        <v>105</v>
      </c>
      <c r="D33" s="9" t="s">
        <v>106</v>
      </c>
      <c r="E33" s="8" t="s">
        <v>95</v>
      </c>
      <c r="F33" s="8" t="s">
        <v>107</v>
      </c>
      <c r="G33" s="9" t="s">
        <v>49</v>
      </c>
      <c r="H33" s="10" t="s">
        <v>34</v>
      </c>
      <c r="I33" s="11" t="s">
        <v>35</v>
      </c>
      <c r="J33" s="10" t="s">
        <v>36</v>
      </c>
      <c r="K33" s="10" t="s">
        <v>49</v>
      </c>
      <c r="L33" s="11" t="s">
        <v>37</v>
      </c>
    </row>
    <row r="34" customFormat="false" ht="21.75" hidden="false" customHeight="true" outlineLevel="0" collapsed="false">
      <c r="A34" s="8" t="s">
        <v>108</v>
      </c>
      <c r="B34" s="9" t="s">
        <v>109</v>
      </c>
      <c r="C34" s="9" t="s">
        <v>110</v>
      </c>
      <c r="D34" s="9" t="s">
        <v>111</v>
      </c>
      <c r="E34" s="8" t="s">
        <v>95</v>
      </c>
      <c r="F34" s="8" t="s">
        <v>32</v>
      </c>
      <c r="G34" s="9" t="s">
        <v>112</v>
      </c>
      <c r="H34" s="10" t="s">
        <v>75</v>
      </c>
      <c r="I34" s="11" t="s">
        <v>35</v>
      </c>
      <c r="J34" s="10" t="s">
        <v>36</v>
      </c>
      <c r="K34" s="10" t="s">
        <v>112</v>
      </c>
      <c r="L34" s="11" t="s">
        <v>37</v>
      </c>
    </row>
    <row r="35" customFormat="false" ht="42.75" hidden="false" customHeight="true" outlineLevel="0" collapsed="false">
      <c r="A35" s="8" t="s">
        <v>113</v>
      </c>
      <c r="B35" s="9" t="s">
        <v>114</v>
      </c>
      <c r="C35" s="9" t="s">
        <v>115</v>
      </c>
      <c r="D35" s="9" t="s">
        <v>116</v>
      </c>
      <c r="E35" s="8" t="s">
        <v>95</v>
      </c>
      <c r="F35" s="8" t="s">
        <v>32</v>
      </c>
      <c r="G35" s="9" t="s">
        <v>117</v>
      </c>
      <c r="H35" s="10" t="s">
        <v>118</v>
      </c>
      <c r="I35" s="11" t="s">
        <v>35</v>
      </c>
      <c r="J35" s="10" t="s">
        <v>119</v>
      </c>
      <c r="K35" s="10" t="s">
        <v>117</v>
      </c>
      <c r="L35" s="11" t="s">
        <v>37</v>
      </c>
    </row>
    <row r="36" customFormat="false" ht="32.25" hidden="false" customHeight="true" outlineLevel="0" collapsed="false">
      <c r="A36" s="8" t="s">
        <v>120</v>
      </c>
      <c r="B36" s="9" t="s">
        <v>121</v>
      </c>
      <c r="C36" s="9" t="s">
        <v>122</v>
      </c>
      <c r="D36" s="9" t="s">
        <v>123</v>
      </c>
      <c r="E36" s="8" t="s">
        <v>124</v>
      </c>
      <c r="F36" s="8" t="s">
        <v>32</v>
      </c>
      <c r="G36" s="9" t="s">
        <v>125</v>
      </c>
      <c r="H36" s="10" t="s">
        <v>126</v>
      </c>
      <c r="I36" s="11" t="s">
        <v>35</v>
      </c>
      <c r="J36" s="10" t="s">
        <v>36</v>
      </c>
      <c r="K36" s="10" t="s">
        <v>125</v>
      </c>
      <c r="L36" s="11" t="s">
        <v>37</v>
      </c>
    </row>
    <row r="37" customFormat="false" ht="32.25" hidden="false" customHeight="true" outlineLevel="0" collapsed="false">
      <c r="A37" s="8" t="s">
        <v>127</v>
      </c>
      <c r="B37" s="9" t="s">
        <v>128</v>
      </c>
      <c r="C37" s="9" t="s">
        <v>129</v>
      </c>
      <c r="D37" s="9" t="s">
        <v>130</v>
      </c>
      <c r="E37" s="8" t="s">
        <v>124</v>
      </c>
      <c r="F37" s="8" t="s">
        <v>32</v>
      </c>
      <c r="G37" s="9" t="s">
        <v>131</v>
      </c>
      <c r="H37" s="10" t="s">
        <v>126</v>
      </c>
      <c r="I37" s="11" t="s">
        <v>35</v>
      </c>
      <c r="J37" s="10" t="s">
        <v>36</v>
      </c>
      <c r="K37" s="10" t="s">
        <v>131</v>
      </c>
      <c r="L37" s="11" t="s">
        <v>37</v>
      </c>
    </row>
    <row r="38" customFormat="false" ht="21.75" hidden="false" customHeight="true" outlineLevel="0" collapsed="false">
      <c r="A38" s="8" t="s">
        <v>132</v>
      </c>
      <c r="B38" s="9" t="s">
        <v>133</v>
      </c>
      <c r="C38" s="9" t="s">
        <v>134</v>
      </c>
      <c r="D38" s="9" t="s">
        <v>135</v>
      </c>
      <c r="E38" s="8" t="s">
        <v>124</v>
      </c>
      <c r="F38" s="8" t="s">
        <v>32</v>
      </c>
      <c r="G38" s="9" t="s">
        <v>136</v>
      </c>
      <c r="H38" s="10" t="s">
        <v>126</v>
      </c>
      <c r="I38" s="11" t="s">
        <v>35</v>
      </c>
      <c r="J38" s="10" t="s">
        <v>36</v>
      </c>
      <c r="K38" s="10" t="s">
        <v>136</v>
      </c>
      <c r="L38" s="11" t="s">
        <v>37</v>
      </c>
    </row>
    <row r="39" customFormat="false" ht="21.75" hidden="false" customHeight="true" outlineLevel="0" collapsed="false">
      <c r="A39" s="8" t="s">
        <v>137</v>
      </c>
      <c r="B39" s="9" t="s">
        <v>138</v>
      </c>
      <c r="C39" s="9" t="s">
        <v>139</v>
      </c>
      <c r="D39" s="9" t="s">
        <v>140</v>
      </c>
      <c r="E39" s="8" t="s">
        <v>124</v>
      </c>
      <c r="F39" s="8" t="s">
        <v>107</v>
      </c>
      <c r="G39" s="9" t="s">
        <v>141</v>
      </c>
      <c r="H39" s="10" t="s">
        <v>118</v>
      </c>
      <c r="I39" s="11" t="s">
        <v>35</v>
      </c>
      <c r="J39" s="10" t="s">
        <v>36</v>
      </c>
      <c r="K39" s="10" t="s">
        <v>141</v>
      </c>
      <c r="L39" s="11" t="s">
        <v>37</v>
      </c>
    </row>
    <row r="40" customFormat="false" ht="32.25" hidden="false" customHeight="true" outlineLevel="0" collapsed="false">
      <c r="A40" s="8" t="s">
        <v>142</v>
      </c>
      <c r="B40" s="9" t="s">
        <v>143</v>
      </c>
      <c r="C40" s="9" t="s">
        <v>144</v>
      </c>
      <c r="D40" s="9" t="s">
        <v>145</v>
      </c>
      <c r="E40" s="8" t="s">
        <v>124</v>
      </c>
      <c r="F40" s="8" t="s">
        <v>107</v>
      </c>
      <c r="G40" s="9" t="s">
        <v>146</v>
      </c>
      <c r="H40" s="10" t="s">
        <v>118</v>
      </c>
      <c r="I40" s="11" t="s">
        <v>35</v>
      </c>
      <c r="J40" s="10" t="s">
        <v>36</v>
      </c>
      <c r="K40" s="10" t="s">
        <v>146</v>
      </c>
      <c r="L40" s="11" t="s">
        <v>37</v>
      </c>
    </row>
    <row r="41" customFormat="false" ht="21.75" hidden="false" customHeight="true" outlineLevel="0" collapsed="false">
      <c r="A41" s="8" t="s">
        <v>147</v>
      </c>
      <c r="B41" s="9" t="s">
        <v>148</v>
      </c>
      <c r="C41" s="9" t="s">
        <v>149</v>
      </c>
      <c r="D41" s="9" t="s">
        <v>150</v>
      </c>
      <c r="E41" s="8" t="s">
        <v>151</v>
      </c>
      <c r="F41" s="8" t="s">
        <v>32</v>
      </c>
      <c r="G41" s="9" t="s">
        <v>152</v>
      </c>
      <c r="H41" s="10" t="s">
        <v>126</v>
      </c>
      <c r="I41" s="11" t="s">
        <v>35</v>
      </c>
      <c r="J41" s="10" t="s">
        <v>36</v>
      </c>
      <c r="K41" s="10" t="s">
        <v>152</v>
      </c>
      <c r="L41" s="11" t="s">
        <v>37</v>
      </c>
    </row>
    <row r="42" customFormat="false" ht="32.25" hidden="false" customHeight="true" outlineLevel="0" collapsed="false">
      <c r="A42" s="8" t="s">
        <v>153</v>
      </c>
      <c r="B42" s="9" t="s">
        <v>154</v>
      </c>
      <c r="C42" s="9" t="s">
        <v>155</v>
      </c>
      <c r="D42" s="9" t="s">
        <v>156</v>
      </c>
      <c r="E42" s="8" t="s">
        <v>151</v>
      </c>
      <c r="F42" s="8" t="s">
        <v>32</v>
      </c>
      <c r="G42" s="9" t="s">
        <v>157</v>
      </c>
      <c r="H42" s="10" t="s">
        <v>126</v>
      </c>
      <c r="I42" s="11" t="s">
        <v>35</v>
      </c>
      <c r="J42" s="10" t="s">
        <v>36</v>
      </c>
      <c r="K42" s="10" t="s">
        <v>157</v>
      </c>
      <c r="L42" s="11" t="s">
        <v>37</v>
      </c>
    </row>
    <row r="43" customFormat="false" ht="32.25" hidden="false" customHeight="true" outlineLevel="0" collapsed="false">
      <c r="A43" s="8" t="s">
        <v>158</v>
      </c>
      <c r="B43" s="9" t="s">
        <v>159</v>
      </c>
      <c r="C43" s="9" t="s">
        <v>160</v>
      </c>
      <c r="D43" s="9" t="s">
        <v>161</v>
      </c>
      <c r="E43" s="8" t="s">
        <v>151</v>
      </c>
      <c r="F43" s="8" t="s">
        <v>32</v>
      </c>
      <c r="G43" s="9" t="s">
        <v>162</v>
      </c>
      <c r="H43" s="10" t="s">
        <v>126</v>
      </c>
      <c r="I43" s="11" t="s">
        <v>35</v>
      </c>
      <c r="J43" s="10" t="s">
        <v>36</v>
      </c>
      <c r="K43" s="10" t="s">
        <v>162</v>
      </c>
      <c r="L43" s="11" t="s">
        <v>37</v>
      </c>
    </row>
    <row r="44" customFormat="false" ht="32.25" hidden="false" customHeight="true" outlineLevel="0" collapsed="false">
      <c r="A44" s="8" t="s">
        <v>163</v>
      </c>
      <c r="B44" s="9" t="s">
        <v>164</v>
      </c>
      <c r="C44" s="9" t="s">
        <v>165</v>
      </c>
      <c r="D44" s="9" t="s">
        <v>166</v>
      </c>
      <c r="E44" s="8" t="s">
        <v>151</v>
      </c>
      <c r="F44" s="8" t="s">
        <v>107</v>
      </c>
      <c r="G44" s="9" t="s">
        <v>167</v>
      </c>
      <c r="H44" s="10" t="s">
        <v>126</v>
      </c>
      <c r="I44" s="11" t="s">
        <v>35</v>
      </c>
      <c r="J44" s="10" t="s">
        <v>168</v>
      </c>
      <c r="K44" s="10" t="s">
        <v>167</v>
      </c>
      <c r="L44" s="11" t="s">
        <v>169</v>
      </c>
    </row>
    <row r="45" customFormat="false" ht="21.75" hidden="false" customHeight="true" outlineLevel="0" collapsed="false">
      <c r="A45" s="8" t="s">
        <v>170</v>
      </c>
      <c r="B45" s="9" t="s">
        <v>171</v>
      </c>
      <c r="C45" s="9" t="s">
        <v>172</v>
      </c>
      <c r="D45" s="9" t="s">
        <v>173</v>
      </c>
      <c r="E45" s="8" t="s">
        <v>174</v>
      </c>
      <c r="F45" s="8" t="s">
        <v>32</v>
      </c>
      <c r="G45" s="9" t="s">
        <v>175</v>
      </c>
      <c r="H45" s="10" t="s">
        <v>118</v>
      </c>
      <c r="I45" s="11" t="s">
        <v>35</v>
      </c>
      <c r="J45" s="10" t="s">
        <v>36</v>
      </c>
      <c r="K45" s="10" t="s">
        <v>175</v>
      </c>
      <c r="L45" s="11" t="s">
        <v>37</v>
      </c>
    </row>
    <row r="46" customFormat="false" ht="21.75" hidden="false" customHeight="true" outlineLevel="0" collapsed="false">
      <c r="A46" s="8" t="s">
        <v>176</v>
      </c>
      <c r="B46" s="9" t="s">
        <v>177</v>
      </c>
      <c r="C46" s="9" t="s">
        <v>178</v>
      </c>
      <c r="D46" s="9" t="s">
        <v>179</v>
      </c>
      <c r="E46" s="8" t="s">
        <v>174</v>
      </c>
      <c r="F46" s="8" t="s">
        <v>32</v>
      </c>
      <c r="G46" s="9" t="s">
        <v>180</v>
      </c>
      <c r="H46" s="10" t="s">
        <v>75</v>
      </c>
      <c r="I46" s="11" t="s">
        <v>35</v>
      </c>
      <c r="J46" s="10" t="s">
        <v>36</v>
      </c>
      <c r="K46" s="10" t="s">
        <v>180</v>
      </c>
      <c r="L46" s="11" t="s">
        <v>37</v>
      </c>
    </row>
    <row r="47" customFormat="false" ht="21.75" hidden="false" customHeight="true" outlineLevel="0" collapsed="false">
      <c r="A47" s="8" t="s">
        <v>181</v>
      </c>
      <c r="B47" s="9" t="s">
        <v>182</v>
      </c>
      <c r="C47" s="9" t="s">
        <v>183</v>
      </c>
      <c r="D47" s="9" t="s">
        <v>184</v>
      </c>
      <c r="E47" s="8" t="s">
        <v>174</v>
      </c>
      <c r="F47" s="8" t="s">
        <v>32</v>
      </c>
      <c r="G47" s="9" t="s">
        <v>112</v>
      </c>
      <c r="H47" s="10" t="s">
        <v>75</v>
      </c>
      <c r="I47" s="11" t="s">
        <v>35</v>
      </c>
      <c r="J47" s="10" t="s">
        <v>36</v>
      </c>
      <c r="K47" s="10" t="s">
        <v>112</v>
      </c>
      <c r="L47" s="11" t="s">
        <v>37</v>
      </c>
    </row>
    <row r="48" customFormat="false" ht="21.75" hidden="false" customHeight="true" outlineLevel="0" collapsed="false">
      <c r="A48" s="8" t="s">
        <v>185</v>
      </c>
      <c r="B48" s="9" t="s">
        <v>186</v>
      </c>
      <c r="C48" s="9" t="s">
        <v>187</v>
      </c>
      <c r="D48" s="9" t="s">
        <v>188</v>
      </c>
      <c r="E48" s="8" t="s">
        <v>174</v>
      </c>
      <c r="F48" s="8" t="s">
        <v>32</v>
      </c>
      <c r="G48" s="9" t="s">
        <v>49</v>
      </c>
      <c r="H48" s="10" t="s">
        <v>34</v>
      </c>
      <c r="I48" s="11" t="s">
        <v>35</v>
      </c>
      <c r="J48" s="10" t="s">
        <v>36</v>
      </c>
      <c r="K48" s="10" t="s">
        <v>49</v>
      </c>
      <c r="L48" s="11" t="s">
        <v>37</v>
      </c>
    </row>
    <row r="49" customFormat="false" ht="32.25" hidden="false" customHeight="true" outlineLevel="0" collapsed="false">
      <c r="A49" s="8" t="s">
        <v>189</v>
      </c>
      <c r="B49" s="9" t="s">
        <v>190</v>
      </c>
      <c r="C49" s="9" t="s">
        <v>191</v>
      </c>
      <c r="D49" s="9" t="s">
        <v>192</v>
      </c>
      <c r="E49" s="8" t="s">
        <v>193</v>
      </c>
      <c r="F49" s="8" t="s">
        <v>32</v>
      </c>
      <c r="G49" s="9" t="s">
        <v>194</v>
      </c>
      <c r="H49" s="10" t="s">
        <v>118</v>
      </c>
      <c r="I49" s="11" t="s">
        <v>35</v>
      </c>
      <c r="J49" s="10" t="s">
        <v>36</v>
      </c>
      <c r="K49" s="10" t="s">
        <v>194</v>
      </c>
      <c r="L49" s="11" t="s">
        <v>37</v>
      </c>
    </row>
    <row r="50" customFormat="false" ht="32.25" hidden="false" customHeight="true" outlineLevel="0" collapsed="false">
      <c r="A50" s="8" t="s">
        <v>195</v>
      </c>
      <c r="B50" s="9" t="s">
        <v>196</v>
      </c>
      <c r="C50" s="9" t="s">
        <v>197</v>
      </c>
      <c r="D50" s="9" t="s">
        <v>198</v>
      </c>
      <c r="E50" s="8" t="s">
        <v>95</v>
      </c>
      <c r="F50" s="8" t="s">
        <v>32</v>
      </c>
      <c r="G50" s="9" t="s">
        <v>199</v>
      </c>
      <c r="H50" s="10" t="s">
        <v>118</v>
      </c>
      <c r="I50" s="11" t="s">
        <v>35</v>
      </c>
      <c r="J50" s="10" t="s">
        <v>36</v>
      </c>
      <c r="K50" s="10" t="s">
        <v>199</v>
      </c>
      <c r="L50" s="11" t="s">
        <v>37</v>
      </c>
    </row>
    <row r="51" customFormat="false" ht="21.75" hidden="false" customHeight="true" outlineLevel="0" collapsed="false">
      <c r="A51" s="8" t="s">
        <v>200</v>
      </c>
      <c r="B51" s="9" t="s">
        <v>201</v>
      </c>
      <c r="C51" s="9" t="s">
        <v>202</v>
      </c>
      <c r="D51" s="9" t="s">
        <v>203</v>
      </c>
      <c r="E51" s="8" t="s">
        <v>193</v>
      </c>
      <c r="F51" s="8" t="s">
        <v>107</v>
      </c>
      <c r="G51" s="9" t="s">
        <v>112</v>
      </c>
      <c r="H51" s="10" t="s">
        <v>34</v>
      </c>
      <c r="I51" s="11" t="s">
        <v>35</v>
      </c>
      <c r="J51" s="10" t="s">
        <v>36</v>
      </c>
      <c r="K51" s="10" t="s">
        <v>112</v>
      </c>
      <c r="L51" s="11" t="s">
        <v>37</v>
      </c>
    </row>
    <row r="52" customFormat="false" ht="32.25" hidden="false" customHeight="true" outlineLevel="0" collapsed="false">
      <c r="A52" s="8" t="s">
        <v>204</v>
      </c>
      <c r="B52" s="9" t="s">
        <v>205</v>
      </c>
      <c r="C52" s="9" t="s">
        <v>206</v>
      </c>
      <c r="D52" s="9" t="s">
        <v>207</v>
      </c>
      <c r="E52" s="8" t="s">
        <v>193</v>
      </c>
      <c r="F52" s="8" t="s">
        <v>32</v>
      </c>
      <c r="G52" s="9" t="s">
        <v>208</v>
      </c>
      <c r="H52" s="10" t="s">
        <v>44</v>
      </c>
      <c r="I52" s="11" t="s">
        <v>35</v>
      </c>
      <c r="J52" s="10" t="s">
        <v>36</v>
      </c>
      <c r="K52" s="10" t="s">
        <v>208</v>
      </c>
      <c r="L52" s="11" t="s">
        <v>37</v>
      </c>
    </row>
    <row r="54" customFormat="false" ht="15" hidden="false" customHeight="true" outlineLevel="0" collapsed="false">
      <c r="A54" s="3" t="s">
        <v>209</v>
      </c>
    </row>
    <row r="55" customFormat="false" ht="15" hidden="false" customHeight="true" outlineLevel="0" collapsed="false">
      <c r="A55" s="4" t="s">
        <v>210</v>
      </c>
      <c r="B55" s="12" t="n">
        <f aca="false">COUNTIF(I20:I52,"S")</f>
        <v>33</v>
      </c>
    </row>
    <row r="56" customFormat="false" ht="15" hidden="false" customHeight="true" outlineLevel="0" collapsed="false">
      <c r="A56" s="4" t="s">
        <v>211</v>
      </c>
      <c r="B56" s="12" t="n">
        <f aca="false">COUNTIFS(F20:F52,"Crítico",I20:I52,"S")</f>
        <v>4</v>
      </c>
    </row>
    <row r="57" customFormat="false" ht="15" hidden="false" customHeight="true" outlineLevel="0" collapsed="false">
      <c r="A57" s="4" t="s">
        <v>212</v>
      </c>
      <c r="B57" s="12" t="n">
        <f aca="false">COUNTIFS(F20:F52,"Mayor",I20:I52,"S")</f>
        <v>24</v>
      </c>
    </row>
    <row r="58" customFormat="false" ht="15" hidden="false" customHeight="true" outlineLevel="0" collapsed="false">
      <c r="A58" s="4" t="s">
        <v>213</v>
      </c>
      <c r="B58" s="12" t="n">
        <f aca="false">COUNTIFS(F20:F52,"Menor",I20:I52,"S")</f>
        <v>5</v>
      </c>
    </row>
    <row r="59" customFormat="false" ht="15" hidden="false" customHeight="true" outlineLevel="0" collapsed="false">
      <c r="A59" s="4" t="s">
        <v>214</v>
      </c>
      <c r="B59" s="12" t="n">
        <f aca="false">COUNTIFS(F20:F52,"&lt;&gt;Menor",I20:I52,"S",L20:L52,"Corregido")</f>
        <v>28</v>
      </c>
    </row>
    <row r="60" customFormat="false" ht="15" hidden="false" customHeight="true" outlineLevel="0" collapsed="false">
      <c r="A60" s="4" t="s">
        <v>215</v>
      </c>
      <c r="B60" s="13" t="n">
        <f aca="false">IFERROR(B59/COUNTIFS(F20:F52,"&lt;&gt;Menor",I20:I52,"S"),0)</f>
        <v>1</v>
      </c>
    </row>
  </sheetData>
  <autoFilter ref="A19:L52"/>
  <mergeCells count="2">
    <mergeCell ref="A11:H13"/>
    <mergeCell ref="A15:H17"/>
  </mergeCells>
  <dataValidations count="5">
    <dataValidation allowBlank="false" errorStyle="stop" operator="between" showDropDown="false" showErrorMessage="false" showInputMessage="false" sqref="E20:E52" type="list">
      <formula1>"Ambigüedad,Completitud,Consistencia,Verificabilidad,Trazabilidad,Factibilidad"</formula1>
      <formula2>0</formula2>
    </dataValidation>
    <dataValidation allowBlank="false" errorStyle="stop" operator="between" showDropDown="false" showErrorMessage="false" showInputMessage="false" sqref="F20:F52" type="list">
      <formula1>"Crítico,Mayor,Menor"</formula1>
      <formula2>0</formula2>
    </dataValidation>
    <dataValidation allowBlank="false" errorStyle="stop" operator="between" showDropDown="false" showErrorMessage="false" showInputMessage="false" sqref="H20:H52" type="list">
      <formula1>"Moderador,Lector,Inspector 1,Inspector 2,Libre"</formula1>
      <formula2>0</formula2>
    </dataValidation>
    <dataValidation allowBlank="false" errorStyle="stop" operator="between" showDropDown="false" showErrorMessage="false" showInputMessage="false" sqref="I20:I52" type="list">
      <formula1>"S,N"</formula1>
      <formula2>0</formula2>
    </dataValidation>
    <dataValidation allowBlank="false" errorStyle="stop" operator="between" showDropDown="false" showErrorMessage="false" showInputMessage="false" sqref="L20:L52" type="list">
      <formula1>"Abierto,Corregido,No corregido (justificado)"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2026-08-05T02:08:57Z</dcterms:created>
  <dc:creator>openpyxl</dc:creator>
  <dc:description/>
  <dc:language>en-US</dc:language>
  <cp:lastModifiedBy/>
  <dcterms:modified xsi:type="dcterms:W3CDTF">2026-08-05T06:11:19Z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