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ortada" sheetId="1" state="visible" r:id="rId1"/>
    <sheet xmlns:r="http://schemas.openxmlformats.org/officeDocument/2006/relationships" name="Conteos_base" sheetId="2" state="visible" r:id="rId2"/>
    <sheet xmlns:r="http://schemas.openxmlformats.org/officeDocument/2006/relationships" name="Auditoria" sheetId="3" state="visible" r:id="rId3"/>
    <sheet xmlns:r="http://schemas.openxmlformats.org/officeDocument/2006/relationships" name="Antes_despues" sheetId="4" state="visible" r:id="rId4"/>
    <sheet xmlns:r="http://schemas.openxmlformats.org/officeDocument/2006/relationships" name="Reinspeccion_M6" sheetId="5" state="visible" r:id="rId5"/>
    <sheet xmlns:r="http://schemas.openxmlformats.org/officeDocument/2006/relationships" name="Muestra_M5" sheetId="6" state="visible" r:id="rId6"/>
    <sheet xmlns:r="http://schemas.openxmlformats.org/officeDocument/2006/relationships" name="Valoracion" sheetId="7" state="visible" r:id="rId7"/>
  </sheets>
  <definedNames/>
  <calcPr calcId="124519" fullCalcOnLoad="1" refMode="A1" iterate="0" iterateCount="100" iterateDelta="0.0001"/>
</workbook>
</file>

<file path=xl/styles.xml><?xml version="1.0" encoding="utf-8"?>
<styleSheet xmlns="http://schemas.openxmlformats.org/spreadsheetml/2006/main">
  <numFmts count="2">
    <numFmt numFmtId="164" formatCode="0.0%"/>
    <numFmt numFmtId="165" formatCode="0.000"/>
  </numFmts>
  <fonts count="13">
    <font>
      <name val="Calibri"/>
      <charset val="1"/>
      <family val="2"/>
      <color theme="1"/>
      <sz val="11"/>
    </font>
    <font>
      <name val="Arial"/>
      <family val="0"/>
      <sz val="10"/>
    </font>
    <font>
      <name val="Arial"/>
      <family val="0"/>
      <sz val="10"/>
    </font>
    <font>
      <name val="Arial"/>
      <family val="0"/>
      <sz val="10"/>
    </font>
    <font>
      <name val="Arial"/>
      <charset val="1"/>
      <family val="0"/>
      <b val="1"/>
      <color rgb="FF1F3864"/>
      <sz val="13"/>
    </font>
    <font>
      <name val="Arial"/>
      <charset val="1"/>
      <family val="0"/>
      <i val="1"/>
      <color rgb="FF595959"/>
      <sz val="10"/>
    </font>
    <font>
      <name val="Arial"/>
      <charset val="1"/>
      <family val="0"/>
      <b val="1"/>
      <sz val="10"/>
    </font>
    <font>
      <name val="Arial"/>
      <charset val="1"/>
      <family val="0"/>
      <sz val="10"/>
    </font>
    <font>
      <name val="Arial"/>
      <charset val="1"/>
      <family val="0"/>
      <color rgb="FF008000"/>
      <sz val="10"/>
    </font>
    <font>
      <name val="Arial"/>
      <charset val="1"/>
      <family val="0"/>
      <b val="1"/>
      <color rgb="FF0000FF"/>
      <sz val="10"/>
    </font>
    <font>
      <name val="Arial"/>
      <charset val="1"/>
      <family val="0"/>
      <b val="1"/>
      <color rgb="FF000000"/>
      <sz val="10"/>
    </font>
    <font>
      <name val="Arial"/>
      <charset val="1"/>
      <family val="0"/>
      <b val="1"/>
      <color rgb="FF008000"/>
      <sz val="10"/>
    </font>
    <font>
      <name val="Arial"/>
      <charset val="1"/>
      <family val="0"/>
      <b val="1"/>
      <color rgb="FFFFFFFF"/>
      <sz val="10"/>
    </font>
  </fonts>
  <fills count="6">
    <fill>
      <patternFill/>
    </fill>
    <fill>
      <patternFill patternType="gray125"/>
    </fill>
    <fill>
      <patternFill patternType="solid">
        <fgColor rgb="FF1F3864"/>
        <bgColor rgb="FF333333"/>
      </patternFill>
    </fill>
    <fill>
      <patternFill patternType="solid">
        <fgColor rgb="FFE7F3E7"/>
        <bgColor rgb="FFD9E2F3"/>
      </patternFill>
    </fill>
    <fill>
      <patternFill patternType="solid">
        <fgColor rgb="FFFCE4E4"/>
        <bgColor rgb="FFE7F3E7"/>
      </patternFill>
    </fill>
    <fill>
      <patternFill patternType="solid">
        <fgColor rgb="FFD9E2F3"/>
        <bgColor rgb="FFE7F3E7"/>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55">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2" fontId="8" fillId="0" borderId="0" applyAlignment="1" pivotButton="0" quotePrefix="0" xfId="0">
      <alignment horizontal="general" vertical="bottom"/>
    </xf>
    <xf numFmtId="0" fontId="9" fillId="0" borderId="0" applyAlignment="1" pivotButton="0" quotePrefix="0" xfId="0">
      <alignment horizontal="general" vertical="bottom"/>
    </xf>
    <xf numFmtId="0" fontId="10" fillId="0" borderId="0" applyAlignment="1" pivotButton="0" quotePrefix="0" xfId="0">
      <alignment horizontal="general" vertical="bottom"/>
    </xf>
    <xf numFmtId="0" fontId="11" fillId="0" borderId="0" applyAlignment="1" pivotButton="0" quotePrefix="0" xfId="0">
      <alignment horizontal="general" vertical="bottom"/>
    </xf>
    <xf numFmtId="0" fontId="5" fillId="0" borderId="0" applyAlignment="1" pivotButton="0" quotePrefix="0" xfId="0">
      <alignment horizontal="general" vertical="top" wrapText="1"/>
    </xf>
    <xf numFmtId="0" fontId="12" fillId="2" borderId="1" applyAlignment="1" pivotButton="0" quotePrefix="0" xfId="0">
      <alignment horizontal="center" vertical="center" wrapText="1"/>
    </xf>
    <xf numFmtId="0" fontId="6" fillId="0" borderId="1" applyAlignment="1" pivotButton="0" quotePrefix="0" xfId="0">
      <alignment horizontal="center" vertical="center"/>
    </xf>
    <xf numFmtId="0" fontId="7" fillId="0" borderId="1" applyAlignment="1" pivotButton="0" quotePrefix="0" xfId="0">
      <alignment horizontal="general" vertical="top" wrapText="1"/>
    </xf>
    <xf numFmtId="0" fontId="7" fillId="0" borderId="1" applyAlignment="1" pivotButton="0" quotePrefix="0" xfId="0">
      <alignment horizontal="center" vertical="center"/>
    </xf>
    <xf numFmtId="0" fontId="6" fillId="0" borderId="1" applyAlignment="1" pivotButton="0" quotePrefix="0" xfId="0">
      <alignment horizontal="general" vertical="top" wrapText="1"/>
    </xf>
    <xf numFmtId="164" fontId="7" fillId="0" borderId="1" applyAlignment="1" pivotButton="0" quotePrefix="0" xfId="0">
      <alignment horizontal="center" vertical="center"/>
    </xf>
    <xf numFmtId="0" fontId="6" fillId="3" borderId="1" applyAlignment="1" pivotButton="0" quotePrefix="0" xfId="0">
      <alignment horizontal="center" vertical="center"/>
    </xf>
    <xf numFmtId="165" fontId="7" fillId="0" borderId="1" applyAlignment="1" pivotButton="0" quotePrefix="0" xfId="0">
      <alignment horizontal="center" vertical="center"/>
    </xf>
    <xf numFmtId="2" fontId="7" fillId="0" borderId="1" applyAlignment="1" pivotButton="0" quotePrefix="0" xfId="0">
      <alignment horizontal="center" vertical="center"/>
    </xf>
    <xf numFmtId="0" fontId="6" fillId="4" borderId="1" applyAlignment="1" pivotButton="0" quotePrefix="0" xfId="0">
      <alignment horizontal="center" vertical="center"/>
    </xf>
    <xf numFmtId="0" fontId="6" fillId="0" borderId="1" applyAlignment="1" pivotButton="0" quotePrefix="0" xfId="0">
      <alignment horizontal="general" vertical="bottom"/>
    </xf>
    <xf numFmtId="0" fontId="6" fillId="5" borderId="1" applyAlignment="1" pivotButton="0" quotePrefix="0" xfId="0">
      <alignment horizontal="general" vertical="bottom"/>
    </xf>
    <xf numFmtId="0" fontId="0" fillId="0" borderId="1" applyAlignment="1" pivotButton="0" quotePrefix="0" xfId="0">
      <alignment horizontal="general" vertical="bottom"/>
    </xf>
    <xf numFmtId="0" fontId="5" fillId="0" borderId="1" applyAlignment="1" pivotButton="0" quotePrefix="0" xfId="0">
      <alignment horizontal="general" vertical="bottom"/>
    </xf>
    <xf numFmtId="2" fontId="6" fillId="5" borderId="0" applyAlignment="1" pivotButton="0" quotePrefix="0" xfId="0">
      <alignment horizontal="general" vertical="bottom"/>
    </xf>
    <xf numFmtId="2" fontId="6" fillId="5" borderId="1" applyAlignment="1" pivotButton="0" quotePrefix="0" xfId="0">
      <alignment horizontal="general" vertical="bottom"/>
    </xf>
    <xf numFmtId="0" fontId="0" fillId="0" borderId="1" applyAlignment="1" pivotButton="0" quotePrefix="0" xfId="0">
      <alignment horizontal="center" vertical="center"/>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2" fontId="8" fillId="0" borderId="0" applyAlignment="1" pivotButton="0" quotePrefix="0" xfId="0">
      <alignment horizontal="general" vertical="bottom"/>
    </xf>
    <xf numFmtId="0" fontId="9" fillId="0" borderId="0" applyAlignment="1" pivotButton="0" quotePrefix="0" xfId="0">
      <alignment horizontal="general" vertical="bottom"/>
    </xf>
    <xf numFmtId="0" fontId="10" fillId="0" borderId="0" applyAlignment="1" pivotButton="0" quotePrefix="0" xfId="0">
      <alignment horizontal="general" vertical="bottom"/>
    </xf>
    <xf numFmtId="0" fontId="11" fillId="0" borderId="0" applyAlignment="1" pivotButton="0" quotePrefix="0" xfId="0">
      <alignment horizontal="general" vertical="bottom"/>
    </xf>
    <xf numFmtId="0" fontId="5" fillId="0" borderId="0" applyAlignment="1" pivotButton="0" quotePrefix="0" xfId="0">
      <alignment horizontal="general" vertical="top" wrapText="1"/>
    </xf>
    <xf numFmtId="0" fontId="12" fillId="2" borderId="1" applyAlignment="1" pivotButton="0" quotePrefix="0" xfId="0">
      <alignment horizontal="center" vertical="center" wrapText="1"/>
    </xf>
    <xf numFmtId="0" fontId="6" fillId="0" borderId="1" applyAlignment="1" pivotButton="0" quotePrefix="0" xfId="0">
      <alignment horizontal="center" vertical="center"/>
    </xf>
    <xf numFmtId="0" fontId="7" fillId="0" borderId="1" applyAlignment="1" pivotButton="0" quotePrefix="0" xfId="0">
      <alignment horizontal="general" vertical="top" wrapText="1"/>
    </xf>
    <xf numFmtId="0" fontId="7" fillId="0" borderId="1" applyAlignment="1" pivotButton="0" quotePrefix="0" xfId="0">
      <alignment horizontal="center" vertical="center"/>
    </xf>
    <xf numFmtId="0" fontId="6" fillId="0" borderId="1" applyAlignment="1" pivotButton="0" quotePrefix="0" xfId="0">
      <alignment horizontal="general" vertical="top" wrapText="1"/>
    </xf>
    <xf numFmtId="164" fontId="7" fillId="0" borderId="1" applyAlignment="1" pivotButton="0" quotePrefix="0" xfId="0">
      <alignment horizontal="center" vertical="center"/>
    </xf>
    <xf numFmtId="0" fontId="6" fillId="3" borderId="1" applyAlignment="1" pivotButton="0" quotePrefix="0" xfId="0">
      <alignment horizontal="center" vertical="center"/>
    </xf>
    <xf numFmtId="165" fontId="7" fillId="0" borderId="1" applyAlignment="1" pivotButton="0" quotePrefix="0" xfId="0">
      <alignment horizontal="center" vertical="center"/>
    </xf>
    <xf numFmtId="2" fontId="7" fillId="0" borderId="1" applyAlignment="1" pivotButton="0" quotePrefix="0" xfId="0">
      <alignment horizontal="center" vertical="center"/>
    </xf>
    <xf numFmtId="0" fontId="6" fillId="4" borderId="1" applyAlignment="1" pivotButton="0" quotePrefix="0" xfId="0">
      <alignment horizontal="center" vertical="center"/>
    </xf>
    <xf numFmtId="0" fontId="6" fillId="0" borderId="1" applyAlignment="1" pivotButton="0" quotePrefix="0" xfId="0">
      <alignment horizontal="general" vertical="bottom"/>
    </xf>
    <xf numFmtId="0" fontId="6" fillId="5" borderId="1" applyAlignment="1" pivotButton="0" quotePrefix="0" xfId="0">
      <alignment horizontal="general" vertical="bottom"/>
    </xf>
    <xf numFmtId="0" fontId="0" fillId="0" borderId="1" applyAlignment="1" pivotButton="0" quotePrefix="0" xfId="0">
      <alignment horizontal="general" vertical="bottom"/>
    </xf>
    <xf numFmtId="0" fontId="5" fillId="0" borderId="1" applyAlignment="1" pivotButton="0" quotePrefix="0" xfId="0">
      <alignment horizontal="general" vertical="bottom"/>
    </xf>
    <xf numFmtId="2" fontId="6" fillId="5" borderId="0" applyAlignment="1" pivotButton="0" quotePrefix="0" xfId="0">
      <alignment horizontal="general" vertical="bottom"/>
    </xf>
    <xf numFmtId="2" fontId="6" fillId="5" borderId="1" applyAlignment="1" pivotButton="0" quotePrefix="0" xfId="0">
      <alignment horizontal="general" vertical="bottom"/>
    </xf>
    <xf numFmtId="0" fontId="0" fillId="0" borderId="1" applyAlignment="1" pivotButton="0" quotePrefix="0" xfId="0">
      <alignment horizontal="center" vertical="center"/>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7F3E7"/>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CE4E4"/>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B28"/>
  <sheetViews>
    <sheetView showFormulas="0" showGridLines="0" showRowColHeaders="1" showZeros="1" rightToLeft="0" tabSelected="1"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27" min="1" max="1"/>
    <col width="68" customWidth="1" style="27" min="2" max="2"/>
  </cols>
  <sheetData>
    <row r="1" ht="16.15" customHeight="1" s="28">
      <c r="A1" s="29" t="inlineStr">
        <is>
          <t>ANEXO A — AUDITORÍA DE CALIDAD DEL ERS</t>
        </is>
      </c>
    </row>
    <row r="2" ht="15" customHeight="1" s="28">
      <c r="A2" s="30" t="inlineStr">
        <is>
          <t>Práctica Experimental 5 · Unidad V · Ingeniería de Requerimientos (ISR-401) · UTEQ</t>
        </is>
      </c>
    </row>
    <row r="4" ht="15" customHeight="1" s="28">
      <c r="A4" s="31" t="inlineStr">
        <is>
          <t>Documento auditado</t>
        </is>
      </c>
      <c r="B4" s="32" t="inlineStr">
        <is>
          <t>ERS/SRS del SIMPA, versión 1.1</t>
        </is>
      </c>
    </row>
    <row r="5" ht="15" customHeight="1" s="28">
      <c r="A5" s="31" t="inlineStr">
        <is>
          <t>Sistema</t>
        </is>
      </c>
      <c r="B5" s="32" t="inlineStr">
        <is>
          <t>SIMPA — Sistema Inteligente de Mantenimiento de Palma Africana</t>
        </is>
      </c>
    </row>
    <row r="6" ht="15" customHeight="1" s="28">
      <c r="A6" s="31" t="inlineStr">
        <is>
          <t>Equipo</t>
        </is>
      </c>
      <c r="B6" s="32" t="inlineStr">
        <is>
          <t>AHMRV — Paralelo 4to "A"</t>
        </is>
      </c>
    </row>
    <row r="7" ht="15" customHeight="1" s="28">
      <c r="A7" s="31" t="inlineStr">
        <is>
          <t>Modelo de calidad</t>
        </is>
      </c>
      <c r="B7" s="32" t="inlineStr">
        <is>
          <t>ISO/IEC 25010:2023 e ISO/IEC/IEEE 29148:2018</t>
        </is>
      </c>
    </row>
    <row r="8" ht="15" customHeight="1" s="28">
      <c r="A8" s="31" t="inlineStr">
        <is>
          <t>Fecha de la auditoría</t>
        </is>
      </c>
      <c r="B8" s="32" t="inlineStr">
        <is>
          <t>2026-08-17</t>
        </is>
      </c>
    </row>
    <row r="9" ht="15" customHeight="1" s="28">
      <c r="A9" s="31" t="inlineStr">
        <is>
          <t>Responsable de la auditoría</t>
        </is>
      </c>
      <c r="B9" s="32" t="inlineStr">
        <is>
          <t>Rizzo Vélez Edson Nagib — Verificador</t>
        </is>
      </c>
    </row>
    <row r="10" ht="15" customHeight="1" s="28">
      <c r="A10" s="31" t="inlineStr">
        <is>
          <t>Valoración ponderada</t>
        </is>
      </c>
      <c r="B10" s="33">
        <f>Valoracion!D11</f>
        <v/>
      </c>
    </row>
    <row r="12" ht="15" customHeight="1" s="28">
      <c r="A12" s="31" t="inlineStr">
        <is>
          <t>CONTENIDO DEL LIBRO</t>
        </is>
      </c>
    </row>
    <row r="13" ht="15" customHeight="1" s="28">
      <c r="A13" s="31" t="inlineStr">
        <is>
          <t>Conteos_base</t>
        </is>
      </c>
      <c r="B13" s="32" t="inlineStr">
        <is>
          <t>Denominadores de todas las métricas, con el patrón de conteo de cada uno</t>
        </is>
      </c>
    </row>
    <row r="14" ht="15" customHeight="1" s="28">
      <c r="A14" s="31" t="inlineStr">
        <is>
          <t>Auditoria</t>
        </is>
      </c>
      <c r="B14" s="32" t="inlineStr">
        <is>
          <t>Las diez métricas con fórmula viva, valor de referencia y veredicto</t>
        </is>
      </c>
    </row>
    <row r="15" ht="15" customHeight="1" s="28">
      <c r="A15" s="31" t="inlineStr">
        <is>
          <t>Antes_despues</t>
        </is>
      </c>
      <c r="B15" s="32" t="inlineStr">
        <is>
          <t>Comparación con el estado previo a las acciones de mejora</t>
        </is>
      </c>
    </row>
    <row r="16" ht="15" customHeight="1" s="28">
      <c r="A16" s="31" t="inlineStr">
        <is>
          <t>Reinspeccion_M6</t>
        </is>
      </c>
      <c r="B16" s="32" t="inlineStr">
        <is>
          <t>Los siete defectos residuales que fijan el numerador de M6</t>
        </is>
      </c>
    </row>
    <row r="17" ht="15" customHeight="1" s="28">
      <c r="A17" s="31" t="inlineStr">
        <is>
          <t>Muestra_M5</t>
        </is>
      </c>
      <c r="B17" s="32" t="inlineStr">
        <is>
          <t>Los cinco requisitos de la muestra de modificabilidad</t>
        </is>
      </c>
    </row>
    <row r="18" ht="15" customHeight="1" s="28">
      <c r="A18" s="31" t="inlineStr">
        <is>
          <t>Valoracion</t>
        </is>
      </c>
      <c r="B18" s="32" t="inlineStr">
        <is>
          <t>Ponderación por peso y nivel; produce el 3,70 sobre 4,00</t>
        </is>
      </c>
    </row>
    <row r="20" ht="15" customHeight="1" s="28">
      <c r="A20" s="31" t="inlineStr">
        <is>
          <t>LEYENDA DE COLORES</t>
        </is>
      </c>
    </row>
    <row r="21" ht="15" customHeight="1" s="28">
      <c r="A21" s="34" t="inlineStr">
        <is>
          <t>■</t>
        </is>
      </c>
      <c r="B21" s="32" t="inlineStr">
        <is>
          <t>Azul: conteo base introducido a mano (verificable sobre las fuentes)</t>
        </is>
      </c>
    </row>
    <row r="22" ht="15" customHeight="1" s="28">
      <c r="A22" s="35" t="inlineStr">
        <is>
          <t>■</t>
        </is>
      </c>
      <c r="B22" s="32" t="inlineStr">
        <is>
          <t>Negro: valor calculado por fórmula</t>
        </is>
      </c>
    </row>
    <row r="23" ht="15" customHeight="1" s="28">
      <c r="A23" s="36" t="inlineStr">
        <is>
          <t>■</t>
        </is>
      </c>
      <c r="B23" s="32" t="inlineStr">
        <is>
          <t>Verde: enlace a otra hoja de este libro</t>
        </is>
      </c>
    </row>
    <row r="25" ht="15" customHeight="1" s="28">
      <c r="A25" s="37" t="inlineStr">
        <is>
          <t>Todos los conteos base se obtuvieron por análisis programático de las fuentes LaTeX del ERS, no por lectura manual. El patrón de conteo de cada uno se declara en la hoja Conteos_base, de modo que cualquier evaluador pueda reproducir el número. Las métricas de esta hoja son fórmulas vivas: si un conteo base cambia, la métrica se recalcula.</t>
        </is>
      </c>
    </row>
    <row r="26" ht="15" customHeight="1" s="28"/>
    <row r="27" ht="15" customHeight="1" s="28"/>
    <row r="28" ht="15" customHeight="1" s="28"/>
  </sheetData>
  <mergeCells count="1">
    <mergeCell ref="A25:B28"/>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D28"/>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4" customWidth="1" style="27" min="1" max="1"/>
    <col width="42" customWidth="1" style="27" min="2" max="2"/>
    <col width="10" customWidth="1" style="27" min="3" max="3"/>
    <col width="62" customWidth="1" style="27" min="4" max="4"/>
  </cols>
  <sheetData>
    <row r="1" ht="16.15" customHeight="1" s="28">
      <c r="A1" s="29" t="inlineStr">
        <is>
          <t>CONTEOS BASE DE LA AUDITORÍA</t>
        </is>
      </c>
    </row>
    <row r="2" ht="15" customHeight="1" s="28">
      <c r="A2" s="30" t="inlineStr">
        <is>
          <t>Denominadores de las métricas. Obtenidos por análisis programático de las fuentes LaTeX del ERS.</t>
        </is>
      </c>
    </row>
    <row r="4" ht="30" customHeight="1" s="28">
      <c r="A4" s="38" t="inlineStr">
        <is>
          <t>Clave</t>
        </is>
      </c>
      <c r="B4" s="38" t="inlineStr">
        <is>
          <t>Concepto</t>
        </is>
      </c>
      <c r="C4" s="38" t="inlineStr">
        <is>
          <t>Valor</t>
        </is>
      </c>
      <c r="D4" s="38" t="inlineStr">
        <is>
          <t>Patrón de conteo / procedencia</t>
        </is>
      </c>
    </row>
    <row r="5" ht="15" customHeight="1" s="28">
      <c r="A5" s="39" t="inlineStr">
        <is>
          <t>RF</t>
        </is>
      </c>
      <c r="B5" s="40" t="inlineStr">
        <is>
          <t>Requisitos funcionales</t>
        </is>
      </c>
      <c r="C5" s="41" t="n">
        <v>42</v>
      </c>
      <c r="D5" s="40" t="inlineStr">
        <is>
          <t>Macros \RF{} al inicio de línea en ERS_SRS_2A.tex</t>
        </is>
      </c>
    </row>
    <row r="6" ht="15" customHeight="1" s="28">
      <c r="A6" s="39" t="inlineStr">
        <is>
          <t>RNF</t>
        </is>
      </c>
      <c r="B6" s="40" t="inlineStr">
        <is>
          <t>Requisitos no funcionales</t>
        </is>
      </c>
      <c r="C6" s="41" t="n">
        <v>19</v>
      </c>
      <c r="D6" s="40" t="inlineStr">
        <is>
          <t>Filas RNF-XX de la Tabla 49 del ERS</t>
        </is>
      </c>
    </row>
    <row r="7" ht="15" customHeight="1" s="28">
      <c r="A7" s="39" t="inlineStr">
        <is>
          <t>TOTAL</t>
        </is>
      </c>
      <c r="B7" s="40" t="inlineStr">
        <is>
          <t>Total auditado (RF + RNF)</t>
        </is>
      </c>
      <c r="C7" s="41">
        <f>C5+C6</f>
        <v/>
      </c>
      <c r="D7" s="40" t="inlineStr">
        <is>
          <t>Suma de los dos anteriores</t>
        </is>
      </c>
    </row>
    <row r="8" ht="15" customHeight="1" s="28">
      <c r="A8" s="39" t="inlineStr">
        <is>
          <t>MUST</t>
        </is>
      </c>
      <c r="B8" s="40" t="inlineStr">
        <is>
          <t>Requisitos funcionales Must</t>
        </is>
      </c>
      <c r="C8" s="41" t="n">
        <v>24</v>
      </c>
      <c r="D8" s="40" t="inlineStr">
        <is>
          <t>Fichas de la §3.2 con prioridad MoSCoW = Must</t>
        </is>
      </c>
    </row>
    <row r="9" ht="15" customHeight="1" s="28">
      <c r="A9" s="39" t="inlineStr">
        <is>
          <t>CU_ID</t>
        </is>
      </c>
      <c r="B9" s="40" t="inlineStr">
        <is>
          <t>Casos de uso identificados</t>
        </is>
      </c>
      <c r="C9" s="41" t="n">
        <v>18</v>
      </c>
      <c r="D9" s="40" t="inlineStr">
        <is>
          <t>Referencias CU-XX en el diagrama general y la matriz</t>
        </is>
      </c>
    </row>
    <row r="10" ht="15" customHeight="1" s="28">
      <c r="A10" s="39" t="inlineStr">
        <is>
          <t>CU_ESP</t>
        </is>
      </c>
      <c r="B10" s="40" t="inlineStr">
        <is>
          <t>Casos de uso especificados</t>
        </is>
      </c>
      <c r="C10" s="41" t="n">
        <v>18</v>
      </c>
      <c r="D10" s="40" t="inlineStr">
        <is>
          <t>Tablas con \caption{CU-XX} en el ERS</t>
        </is>
      </c>
    </row>
    <row r="11" ht="15" customHeight="1" s="28">
      <c r="A11" s="39" t="inlineStr">
        <is>
          <t>ACT</t>
        </is>
      </c>
      <c r="B11" s="40" t="inlineStr">
        <is>
          <t>Clases de usuario (actores)</t>
        </is>
      </c>
      <c r="C11" s="41" t="n">
        <v>6</v>
      </c>
      <c r="D11" s="40" t="inlineStr">
        <is>
          <t>Tabla de clases de usuario de la §2.3</t>
        </is>
      </c>
    </row>
    <row r="12" ht="15" customHeight="1" s="28">
      <c r="A12" s="39" t="inlineStr">
        <is>
          <t>ACT_RF</t>
        </is>
      </c>
      <c r="B12" s="40" t="inlineStr">
        <is>
          <t>Clases de usuario con ≥1 RF asociado</t>
        </is>
      </c>
      <c r="C12" s="41" t="n">
        <v>6</v>
      </c>
      <c r="D12" s="40" t="inlineStr">
        <is>
          <t>Cruce de la §2.3 con la columna Actor de la §3.2</t>
        </is>
      </c>
    </row>
    <row r="13" ht="15" customHeight="1" s="28">
      <c r="A13" s="39" t="inlineStr">
        <is>
          <t>ATR_OK</t>
        </is>
      </c>
      <c r="B13" s="40" t="inlineStr">
        <is>
          <t>Requisitos con los 4 atributos completos</t>
        </is>
      </c>
      <c r="C13" s="41">
        <f>C7</f>
        <v/>
      </c>
      <c r="D13" s="40" t="inlineStr">
        <is>
          <t>Fichas sin campo vacío tras RES-04</t>
        </is>
      </c>
    </row>
    <row r="14" ht="15" customHeight="1" s="28">
      <c r="A14" s="39" t="inlineStr">
        <is>
          <t>CA</t>
        </is>
      </c>
      <c r="B14" s="40" t="inlineStr">
        <is>
          <t>Criterios de aceptación CA-XX</t>
        </is>
      </c>
      <c r="C14" s="41" t="n">
        <v>24</v>
      </c>
      <c r="D14" s="40" t="inlineStr">
        <is>
          <t>Identificadores CA-XX únicos en las fuentes</t>
        </is>
      </c>
    </row>
    <row r="15" ht="15" customHeight="1" s="28">
      <c r="A15" s="39" t="inlineStr">
        <is>
          <t>CB</t>
        </is>
      </c>
      <c r="B15" s="40" t="inlineStr">
        <is>
          <t>Criterios de aceptación CB-XX (BDD)</t>
        </is>
      </c>
      <c r="C15" s="41" t="n">
        <v>37</v>
      </c>
      <c r="D15" s="40" t="inlineStr">
        <is>
          <t>Identificadores CB-XX únicos en el Apéndice F</t>
        </is>
      </c>
    </row>
    <row r="16" ht="15" customHeight="1" s="28">
      <c r="A16" s="39" t="inlineStr">
        <is>
          <t>BDD</t>
        </is>
      </c>
      <c r="B16" s="40" t="inlineStr">
        <is>
          <t>Requisitos con criterio BDD</t>
        </is>
      </c>
      <c r="C16" s="41">
        <f>C14+C15</f>
        <v/>
      </c>
      <c r="D16" s="40" t="inlineStr">
        <is>
          <t>Suma de CA y CB</t>
        </is>
      </c>
    </row>
    <row r="17" ht="15" customHeight="1" s="28">
      <c r="A17" s="39" t="inlineStr">
        <is>
          <t>MUST_BDD</t>
        </is>
      </c>
      <c r="B17" s="40" t="inlineStr">
        <is>
          <t>Requisitos Must con criterio BDD</t>
        </is>
      </c>
      <c r="C17" s="41">
        <f>C8</f>
        <v/>
      </c>
      <c r="D17" s="40" t="inlineStr">
        <is>
          <t>Los 24 Must tienen criterio tras RES-06</t>
        </is>
      </c>
    </row>
    <row r="18" ht="15" customHeight="1" s="28">
      <c r="A18" s="39" t="inlineStr">
        <is>
          <t>TR</t>
        </is>
      </c>
      <c r="B18" s="40" t="inlineStr">
        <is>
          <t>Filas de la matriz de trazabilidad</t>
        </is>
      </c>
      <c r="C18" s="41" t="n">
        <v>73</v>
      </c>
      <c r="D18" s="40" t="inlineStr">
        <is>
          <t>TR-01 a TR-73 en matriz_e2e.xlsx</t>
        </is>
      </c>
    </row>
    <row r="19" ht="15" customHeight="1" s="28">
      <c r="A19" s="39" t="inlineStr">
        <is>
          <t>RF_ADE</t>
        </is>
      </c>
      <c r="B19" s="40" t="inlineStr">
        <is>
          <t>RF con cadena de trazabilidad completa</t>
        </is>
      </c>
      <c r="C19" s="41">
        <f>C5</f>
        <v/>
      </c>
      <c r="D19" s="40" t="inlineStr">
        <is>
          <t>RF → CU → Clase → Proceso → BDD → CP</t>
        </is>
      </c>
    </row>
    <row r="20" ht="15" customHeight="1" s="28">
      <c r="A20" s="39" t="inlineStr">
        <is>
          <t>RF_ATR</t>
        </is>
      </c>
      <c r="B20" s="40" t="inlineStr">
        <is>
          <t>RF con fuente identificada</t>
        </is>
      </c>
      <c r="C20" s="41">
        <f>C5</f>
        <v/>
      </c>
      <c r="D20" s="40" t="inlineStr">
        <is>
          <t>Columna Fuente (EV-XX) de la ficha</t>
        </is>
      </c>
    </row>
    <row r="21" ht="15" customHeight="1" s="28">
      <c r="A21" s="39" t="inlineStr">
        <is>
          <t>PARES</t>
        </is>
      </c>
      <c r="B21" s="40" t="inlineStr">
        <is>
          <t>Pares de requisitos analizados en M2</t>
        </is>
      </c>
      <c r="C21" s="41" t="n">
        <v>210</v>
      </c>
      <c r="D21" s="40" t="inlineStr">
        <is>
          <t>Pares del mismo bloque funcional o con almacén común</t>
        </is>
      </c>
    </row>
    <row r="22" ht="15" customHeight="1" s="28">
      <c r="A22" s="39" t="inlineStr">
        <is>
          <t>CONF</t>
        </is>
      </c>
      <c r="B22" s="40" t="inlineStr">
        <is>
          <t>Conflictos de consistencia detectados</t>
        </is>
      </c>
      <c r="C22" s="41" t="n">
        <v>2</v>
      </c>
      <c r="D22" s="40" t="inlineStr">
        <is>
          <t>Registrados y cerrados en la §5 del informe</t>
        </is>
      </c>
    </row>
    <row r="23" ht="15" customHeight="1" s="28">
      <c r="A23" s="39" t="inlineStr">
        <is>
          <t>DEF_RES</t>
        </is>
      </c>
      <c r="B23" s="40" t="inlineStr">
        <is>
          <t>Defectos residuales de la re-inspección</t>
        </is>
      </c>
      <c r="C23" s="41">
        <f>Reinspeccion_M6!B12</f>
        <v/>
      </c>
      <c r="D23" s="40" t="inlineStr">
        <is>
          <t>Hoja Reinspeccion_M6</t>
        </is>
      </c>
    </row>
    <row r="24" ht="15" customHeight="1" s="28">
      <c r="A24" s="39" t="inlineStr">
        <is>
          <t>M5_SUM</t>
        </is>
      </c>
      <c r="B24" s="40" t="inlineStr">
        <is>
          <t>Suma de requisitos afectados (muestra M5)</t>
        </is>
      </c>
      <c r="C24" s="41">
        <f>Muestra_M5!C10</f>
        <v/>
      </c>
      <c r="D24" s="40" t="inlineStr">
        <is>
          <t>Hoja Muestra_M5</t>
        </is>
      </c>
    </row>
    <row r="25" ht="15" customHeight="1" s="28">
      <c r="A25" s="39" t="inlineStr">
        <is>
          <t>M5_N</t>
        </is>
      </c>
      <c r="B25" s="40" t="inlineStr">
        <is>
          <t>Tamaño de la muestra de M5</t>
        </is>
      </c>
      <c r="C25" s="41">
        <f>Muestra_M5!B10</f>
        <v/>
      </c>
      <c r="D25" s="40" t="inlineStr">
        <is>
          <t>Hoja Muestra_M5</t>
        </is>
      </c>
    </row>
    <row r="27" ht="15" customHeight="1" s="28">
      <c r="A27" s="37" t="inlineStr">
        <is>
          <t>Los valores en azul son los únicos introducidos a mano. Cada uno es reproducible con el patrón declarado en la última columna: es la condición para que la métrica sea una medición y no una opinión con decimales.</t>
        </is>
      </c>
    </row>
    <row r="28" ht="15" customHeight="1" s="28"/>
  </sheetData>
  <mergeCells count="1">
    <mergeCell ref="A27:D28"/>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H24"/>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27" min="1" max="1"/>
    <col width="24" customWidth="1" style="27" min="2" max="2"/>
    <col width="34" customWidth="1" style="27" min="3" max="3"/>
    <col width="12" customWidth="1" style="27" min="4" max="4"/>
    <col width="13" customWidth="1" style="27" min="5" max="5"/>
    <col width="11" customWidth="1" style="27" min="6" max="6"/>
    <col width="13" customWidth="1" style="27" min="7" max="7"/>
    <col width="10" customWidth="1" style="27" min="8" max="8"/>
  </cols>
  <sheetData>
    <row r="1" ht="16.15" customHeight="1" s="28">
      <c r="A1" s="29" t="inlineStr">
        <is>
          <t>AUDITORÍA DE CALIDAD DEL ERS FINAL</t>
        </is>
      </c>
    </row>
    <row r="2" ht="15" customHeight="1" s="28">
      <c r="A2" s="30" t="inlineStr">
        <is>
          <t>Diez métricas derivadas de ISO/IEC 25010:2023 e ISO/IEC/IEEE 29148:2018. La columna Valor es una fórmula sobre la hoja Conteos_base.</t>
        </is>
      </c>
    </row>
    <row r="4" ht="30" customHeight="1" s="28">
      <c r="A4" s="38" t="inlineStr">
        <is>
          <t>Métrica</t>
        </is>
      </c>
      <c r="B4" s="38" t="inlineStr">
        <is>
          <t>Característica ISO 25010</t>
        </is>
      </c>
      <c r="C4" s="38" t="inlineStr">
        <is>
          <t>Fórmula declarada</t>
        </is>
      </c>
      <c r="D4" s="38" t="inlineStr">
        <is>
          <t>Numerador</t>
        </is>
      </c>
      <c r="E4" s="38" t="inlineStr">
        <is>
          <t>Denominador</t>
        </is>
      </c>
      <c r="F4" s="38" t="inlineStr">
        <is>
          <t>Valor</t>
        </is>
      </c>
      <c r="G4" s="38" t="inlineStr">
        <is>
          <t>Referencia</t>
        </is>
      </c>
      <c r="H4" s="38" t="inlineStr">
        <is>
          <t>Cumple</t>
        </is>
      </c>
    </row>
    <row r="5" ht="15" customHeight="1" s="28">
      <c r="A5" s="42" t="inlineStr">
        <is>
          <t>M1a Completitud de atributos</t>
        </is>
      </c>
      <c r="B5" s="40" t="inlineStr">
        <is>
          <t>Adecuación funcional</t>
        </is>
      </c>
      <c r="C5" s="40" t="inlineStr">
        <is>
          <t>requisitos con los 4 atributos / requisitos</t>
        </is>
      </c>
      <c r="D5" s="41">
        <f>Conteos_base!C13</f>
        <v/>
      </c>
      <c r="E5" s="41">
        <f>Conteos_base!C7</f>
        <v/>
      </c>
      <c r="F5" s="43">
        <f>D5/E5</f>
        <v/>
      </c>
      <c r="G5" s="43" t="n">
        <v>0.95</v>
      </c>
      <c r="H5" s="44">
        <f>IF(F5&gt;=G5,"Sí","No")</f>
        <v/>
      </c>
    </row>
    <row r="6" ht="23.85" customHeight="1" s="28">
      <c r="A6" s="42" t="inlineStr">
        <is>
          <t>M1b Especificación de casos de uso</t>
        </is>
      </c>
      <c r="B6" s="40" t="inlineStr">
        <is>
          <t>Adecuación funcional</t>
        </is>
      </c>
      <c r="C6" s="40" t="inlineStr">
        <is>
          <t>CU especificados / CU identificados</t>
        </is>
      </c>
      <c r="D6" s="41">
        <f>Conteos_base!C10</f>
        <v/>
      </c>
      <c r="E6" s="41">
        <f>Conteos_base!C9</f>
        <v/>
      </c>
      <c r="F6" s="43">
        <f>D6/E6</f>
        <v/>
      </c>
      <c r="G6" s="43" t="n">
        <v>1</v>
      </c>
      <c r="H6" s="44">
        <f>IF(F6&gt;=G6,"Sí","No")</f>
        <v/>
      </c>
    </row>
    <row r="7" ht="15" customHeight="1" s="28">
      <c r="A7" s="42" t="inlineStr">
        <is>
          <t>M1c Cobertura de actores</t>
        </is>
      </c>
      <c r="B7" s="40" t="inlineStr">
        <is>
          <t>Adecuación funcional</t>
        </is>
      </c>
      <c r="C7" s="40" t="inlineStr">
        <is>
          <t>actores con ≥1 RF / actores</t>
        </is>
      </c>
      <c r="D7" s="41">
        <f>Conteos_base!C12</f>
        <v/>
      </c>
      <c r="E7" s="41">
        <f>Conteos_base!C11</f>
        <v/>
      </c>
      <c r="F7" s="43">
        <f>D7/E7</f>
        <v/>
      </c>
      <c r="G7" s="43" t="n">
        <v>1</v>
      </c>
      <c r="H7" s="44">
        <f>IF(F7&gt;=G7,"Sí","No")</f>
        <v/>
      </c>
    </row>
    <row r="8" ht="15" customHeight="1" s="28">
      <c r="A8" s="42" t="inlineStr">
        <is>
          <t>M2 Consistencia</t>
        </is>
      </c>
      <c r="B8" s="40" t="inlineStr">
        <is>
          <t>Adecuación funcional</t>
        </is>
      </c>
      <c r="C8" s="40" t="inlineStr">
        <is>
          <t>1 − conflictos / pares analizados</t>
        </is>
      </c>
      <c r="D8" s="41">
        <f>Conteos_base!C22</f>
        <v/>
      </c>
      <c r="E8" s="41">
        <f>Conteos_base!C21</f>
        <v/>
      </c>
      <c r="F8" s="45">
        <f>1-D8/E8</f>
        <v/>
      </c>
      <c r="G8" s="45" t="n">
        <v>0.98</v>
      </c>
      <c r="H8" s="44">
        <f>IF(F8&gt;=G8,"Sí","No")</f>
        <v/>
      </c>
    </row>
    <row r="9" ht="23.85" customHeight="1" s="28">
      <c r="A9" s="42" t="inlineStr">
        <is>
          <t>M3 Verificabilidad</t>
        </is>
      </c>
      <c r="B9" s="40" t="inlineStr">
        <is>
          <t>Mantenibilidad (analizabilidad)</t>
        </is>
      </c>
      <c r="C9" s="40" t="inlineStr">
        <is>
          <t>requisitos con criterio BDD / requisitos</t>
        </is>
      </c>
      <c r="D9" s="41">
        <f>Conteos_base!C16</f>
        <v/>
      </c>
      <c r="E9" s="41">
        <f>Conteos_base!C7</f>
        <v/>
      </c>
      <c r="F9" s="43">
        <f>D9/E9</f>
        <v/>
      </c>
      <c r="G9" s="43" t="n">
        <v>0.9</v>
      </c>
      <c r="H9" s="44">
        <f>IF(F9&gt;=G9,"Sí","No")</f>
        <v/>
      </c>
    </row>
    <row r="10" ht="23.85" customHeight="1" s="28">
      <c r="A10" s="42" t="inlineStr">
        <is>
          <t>M3b Verificabilidad en Must</t>
        </is>
      </c>
      <c r="B10" s="40" t="inlineStr">
        <is>
          <t>Mantenibilidad (analizabilidad)</t>
        </is>
      </c>
      <c r="C10" s="40" t="inlineStr">
        <is>
          <t>Must con criterio BDD / Must</t>
        </is>
      </c>
      <c r="D10" s="41">
        <f>Conteos_base!C17</f>
        <v/>
      </c>
      <c r="E10" s="41">
        <f>Conteos_base!C8</f>
        <v/>
      </c>
      <c r="F10" s="43">
        <f>D10/E10</f>
        <v/>
      </c>
      <c r="G10" s="43" t="n">
        <v>1</v>
      </c>
      <c r="H10" s="44">
        <f>IF(F10&gt;=G10,"Sí","No")</f>
        <v/>
      </c>
    </row>
    <row r="11" ht="23.85" customHeight="1" s="28">
      <c r="A11" s="42" t="inlineStr">
        <is>
          <t>M4ade Trazabilidad adelante</t>
        </is>
      </c>
      <c r="B11" s="40" t="inlineStr">
        <is>
          <t>Mantenibilidad (modificabilidad)</t>
        </is>
      </c>
      <c r="C11" s="40" t="inlineStr">
        <is>
          <t>RF con cadena completa / RF</t>
        </is>
      </c>
      <c r="D11" s="41">
        <f>Conteos_base!C19</f>
        <v/>
      </c>
      <c r="E11" s="41">
        <f>Conteos_base!C5</f>
        <v/>
      </c>
      <c r="F11" s="43">
        <f>D11/E11</f>
        <v/>
      </c>
      <c r="G11" s="43" t="n">
        <v>0.9</v>
      </c>
      <c r="H11" s="44">
        <f>IF(F11&gt;=G11,"Sí","No")</f>
        <v/>
      </c>
    </row>
    <row r="12" ht="23.85" customHeight="1" s="28">
      <c r="A12" s="42" t="inlineStr">
        <is>
          <t>M4atr Trazabilidad atrás</t>
        </is>
      </c>
      <c r="B12" s="40" t="inlineStr">
        <is>
          <t>Mantenibilidad (modificabilidad)</t>
        </is>
      </c>
      <c r="C12" s="40" t="inlineStr">
        <is>
          <t>RF con fuente / RF</t>
        </is>
      </c>
      <c r="D12" s="41">
        <f>Conteos_base!C20</f>
        <v/>
      </c>
      <c r="E12" s="41">
        <f>Conteos_base!C5</f>
        <v/>
      </c>
      <c r="F12" s="43">
        <f>D12/E12</f>
        <v/>
      </c>
      <c r="G12" s="43" t="n">
        <v>1</v>
      </c>
      <c r="H12" s="44">
        <f>IF(F12&gt;=G12,"Sí","No")</f>
        <v/>
      </c>
    </row>
    <row r="13" ht="23.85" customHeight="1" s="28">
      <c r="A13" s="42" t="inlineStr">
        <is>
          <t>M5 Modificabilidad</t>
        </is>
      </c>
      <c r="B13" s="40" t="inlineStr">
        <is>
          <t>Mantenibilidad (modificabilidad)</t>
        </is>
      </c>
      <c r="C13" s="40" t="inlineStr">
        <is>
          <t>Σ requisitos afectados / muestra</t>
        </is>
      </c>
      <c r="D13" s="41">
        <f>Conteos_base!C24</f>
        <v/>
      </c>
      <c r="E13" s="41">
        <f>Conteos_base!C25</f>
        <v/>
      </c>
      <c r="F13" s="46">
        <f>D13/E13</f>
        <v/>
      </c>
      <c r="G13" s="46" t="n">
        <v>3</v>
      </c>
      <c r="H13" s="44">
        <f>IF(F13&lt;=G13,"Sí","No")</f>
        <v/>
      </c>
    </row>
    <row r="14" ht="15" customHeight="1" s="28">
      <c r="A14" s="42" t="inlineStr">
        <is>
          <t>M6 Corrección</t>
        </is>
      </c>
      <c r="B14" s="40" t="inlineStr">
        <is>
          <t>Fiabilidad (madurez)</t>
        </is>
      </c>
      <c r="C14" s="40" t="inlineStr">
        <is>
          <t>defectos residuales / requisitos</t>
        </is>
      </c>
      <c r="D14" s="41">
        <f>Conteos_base!C23</f>
        <v/>
      </c>
      <c r="E14" s="41">
        <f>Conteos_base!C7</f>
        <v/>
      </c>
      <c r="F14" s="46">
        <f>D14/E14</f>
        <v/>
      </c>
      <c r="G14" s="46" t="n">
        <v>0.05</v>
      </c>
      <c r="H14" s="47">
        <f>IF(F14&lt;=G14,"Sí","No")</f>
        <v/>
      </c>
    </row>
    <row r="16" ht="15" customHeight="1" s="28">
      <c r="A16" s="37" t="inlineStr">
        <is>
          <t>M6 es la única que no cumple, y la única cuya corrección no depende de actuar sobre el documento: mide qué proporción de defectos escapó a la inspección de la Unidad IV. Los siete están corregidos, pero corregirlos no altera el numerador, porque el numerador es un hecho sobre la eficacia de aquella inspección y no sobre el estado actual del ERS. La acción correctiva registrada es de proceso, no de producto, y consta como elemento S2 de la retrospectiva.</t>
        </is>
      </c>
    </row>
    <row r="17" ht="15" customHeight="1" s="28"/>
    <row r="18" ht="15" customHeight="1" s="28"/>
    <row r="19" ht="15" customHeight="1" s="28"/>
    <row r="21" ht="15" customHeight="1" s="28">
      <c r="A21" s="37" t="inlineStr">
        <is>
          <t>Sobre el denominador de M2: los 61 requisitos producen 1.830 pares posibles. Compararlos todos habría dado un denominador que hace tender la métrica a uno por construcción. Se analizaron los 210 pares que pertenecen al mismo bloque funcional o comparten almacén de datos, que son los que pueden contradecirse. Un 0,990 sobre 1.830 pares y un 0,990 sobre 210 no son la misma afirmación.</t>
        </is>
      </c>
    </row>
    <row r="22" ht="15" customHeight="1" s="28"/>
    <row r="23" ht="15" customHeight="1" s="28"/>
    <row r="24" ht="15" customHeight="1" s="28"/>
  </sheetData>
  <mergeCells count="2">
    <mergeCell ref="A16:H19"/>
    <mergeCell ref="A21:H24"/>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F16"/>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27" min="1" max="1"/>
    <col width="12" customWidth="1" style="27" min="2" max="3"/>
    <col width="13" customWidth="1" style="27" min="4" max="4"/>
    <col width="10" customWidth="1" style="27" min="5" max="5"/>
    <col width="62" customWidth="1" style="27" min="6" max="6"/>
  </cols>
  <sheetData>
    <row r="1" ht="16.15" customHeight="1" s="28">
      <c r="A1" s="29" t="inlineStr">
        <is>
          <t>MÉTRICAS ANTES Y DESPUÉS DE LAS ACCIONES DE MEJORA</t>
        </is>
      </c>
    </row>
    <row r="2" ht="15" customHeight="1" s="28">
      <c r="A2" s="30" t="inlineStr">
        <is>
          <t>La columna Después enlaza con la hoja Auditoria. La columna Antes es el valor medido sobre el ERS v1.1 publicado en la PE4.</t>
        </is>
      </c>
    </row>
    <row r="4" ht="30" customHeight="1" s="28">
      <c r="A4" s="38" t="inlineStr">
        <is>
          <t>Métrica</t>
        </is>
      </c>
      <c r="B4" s="38" t="inlineStr">
        <is>
          <t>Antes</t>
        </is>
      </c>
      <c r="C4" s="38" t="inlineStr">
        <is>
          <t>Después</t>
        </is>
      </c>
      <c r="D4" s="38" t="inlineStr">
        <is>
          <t>Referencia</t>
        </is>
      </c>
      <c r="E4" s="38" t="inlineStr">
        <is>
          <t>Δ</t>
        </is>
      </c>
      <c r="F4" s="38" t="inlineStr">
        <is>
          <t>Acción aplicada</t>
        </is>
      </c>
    </row>
    <row r="5" ht="15" customHeight="1" s="28">
      <c r="A5" s="42" t="inlineStr">
        <is>
          <t>M1a Completitud</t>
        </is>
      </c>
      <c r="B5" s="43" t="n">
        <v>0.984</v>
      </c>
      <c r="C5" s="43">
        <f>Auditoria!F5</f>
        <v/>
      </c>
      <c r="D5" s="43">
        <f>Auditoria!G5</f>
        <v/>
      </c>
      <c r="E5" s="43">
        <f>C5-B5</f>
        <v/>
      </c>
      <c r="F5" s="40" t="inlineStr">
        <is>
          <t>RES-04: se clasificó RNF-19 en el Apéndice C</t>
        </is>
      </c>
    </row>
    <row r="6" ht="15" customHeight="1" s="28">
      <c r="A6" s="42" t="inlineStr">
        <is>
          <t>M1b Casos de uso</t>
        </is>
      </c>
      <c r="B6" s="43" t="n">
        <v>0.556</v>
      </c>
      <c r="C6" s="43">
        <f>Auditoria!F6</f>
        <v/>
      </c>
      <c r="D6" s="43">
        <f>Auditoria!G6</f>
        <v/>
      </c>
      <c r="E6" s="43">
        <f>C6-B6</f>
        <v/>
      </c>
      <c r="F6" s="40" t="inlineStr">
        <is>
          <t>RES-05: se especificaron CU-11 a CU-18</t>
        </is>
      </c>
    </row>
    <row r="7" ht="15" customHeight="1" s="28">
      <c r="A7" s="42" t="inlineStr">
        <is>
          <t>M1c Actores</t>
        </is>
      </c>
      <c r="B7" s="43" t="n">
        <v>0.75</v>
      </c>
      <c r="C7" s="43">
        <f>Auditoria!F7</f>
        <v/>
      </c>
      <c r="D7" s="43">
        <f>Auditoria!G7</f>
        <v/>
      </c>
      <c r="E7" s="43">
        <f>C7-B7</f>
        <v/>
      </c>
      <c r="F7" s="40" t="inlineStr">
        <is>
          <t>RES-07: reconteo tras distinguir clase de usuario de parte interesada</t>
        </is>
      </c>
    </row>
    <row r="8" ht="23.85" customHeight="1" s="28">
      <c r="A8" s="42" t="inlineStr">
        <is>
          <t>M2 Consistencia</t>
        </is>
      </c>
      <c r="B8" s="45" t="n">
        <v>0.99</v>
      </c>
      <c r="C8" s="45">
        <f>Auditoria!F8</f>
        <v/>
      </c>
      <c r="D8" s="45">
        <f>Auditoria!G8</f>
        <v/>
      </c>
      <c r="E8" s="45">
        <f>C8-B8</f>
        <v/>
      </c>
      <c r="F8" s="40" t="inlineStr">
        <is>
          <t>Sin acción; los dos conflictos quedaron detectados, documentados y cerrados</t>
        </is>
      </c>
    </row>
    <row r="9" ht="23.85" customHeight="1" s="28">
      <c r="A9" s="42" t="inlineStr">
        <is>
          <t>M3 Verificabilidad</t>
        </is>
      </c>
      <c r="B9" s="43" t="n">
        <v>0.393</v>
      </c>
      <c r="C9" s="43">
        <f>Auditoria!F9</f>
        <v/>
      </c>
      <c r="D9" s="43">
        <f>Auditoria!G9</f>
        <v/>
      </c>
      <c r="E9" s="43">
        <f>C9-B9</f>
        <v/>
      </c>
      <c r="F9" s="40" t="inlineStr">
        <is>
          <t>RES-06: 37 criterios reescritos en formato BDD, sin alterar valor, unidad ni método</t>
        </is>
      </c>
    </row>
    <row r="10" ht="15" customHeight="1" s="28">
      <c r="A10" s="42" t="inlineStr">
        <is>
          <t>M4 Trazabilidad</t>
        </is>
      </c>
      <c r="B10" s="43" t="n">
        <v>1</v>
      </c>
      <c r="C10" s="43">
        <f>Auditoria!F11</f>
        <v/>
      </c>
      <c r="D10" s="43">
        <f>Auditoria!G11</f>
        <v/>
      </c>
      <c r="E10" s="43">
        <f>C10-B10</f>
        <v/>
      </c>
      <c r="F10" s="40" t="inlineStr">
        <is>
          <t>Los diagramas de flujo de datos aportan el eslabón de proceso que faltaba</t>
        </is>
      </c>
    </row>
    <row r="11" ht="15" customHeight="1" s="28">
      <c r="A11" s="42" t="inlineStr">
        <is>
          <t>M5 Modificabilidad</t>
        </is>
      </c>
      <c r="B11" s="46" t="n">
        <v>2.2</v>
      </c>
      <c r="C11" s="46">
        <f>Auditoria!F13</f>
        <v/>
      </c>
      <c r="D11" s="46">
        <f>Auditoria!G13</f>
        <v/>
      </c>
      <c r="E11" s="46">
        <f>C11-B11</f>
        <v/>
      </c>
      <c r="F11" s="40" t="inlineStr">
        <is>
          <t>Sin acción; el valor ya estaba por debajo de la referencia</t>
        </is>
      </c>
    </row>
    <row r="12" ht="23.85" customHeight="1" s="28">
      <c r="A12" s="42" t="inlineStr">
        <is>
          <t>M6 Corrección</t>
        </is>
      </c>
      <c r="B12" s="46" t="n">
        <v>0.11</v>
      </c>
      <c r="C12" s="46">
        <f>Auditoria!F14</f>
        <v/>
      </c>
      <c r="D12" s="46">
        <f>Auditoria!G14</f>
        <v/>
      </c>
      <c r="E12" s="46">
        <f>C12-B12</f>
        <v/>
      </c>
      <c r="F12" s="40" t="inlineStr">
        <is>
          <t>Sin acción posible sobre el producto; acción correctiva de proceso registrada</t>
        </is>
      </c>
    </row>
    <row r="14" ht="15" customHeight="1" s="28">
      <c r="A14" s="37" t="inlineStr">
        <is>
          <t>Los tres saltos mayores —M1b, M1c y M3— comparten una causa: no medían un documento peor, medían ausencias que ninguna lectura detecta. Faltaban ocho casos de uso enteros que no aparecían en ninguna parte salvo en un diagrama; la métrica los detectó en una división.</t>
        </is>
      </c>
    </row>
    <row r="15" ht="15" customHeight="1" s="28"/>
    <row r="16" ht="15" customHeight="1" s="28"/>
  </sheetData>
  <mergeCells count="1">
    <mergeCell ref="A14:F16"/>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E16"/>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27" min="1" max="1"/>
    <col width="22" customWidth="1" style="27" min="2" max="2"/>
    <col width="18" customWidth="1" style="27" min="3" max="3"/>
    <col width="74" customWidth="1" style="27" min="4" max="4"/>
    <col width="16" customWidth="1" style="27" min="5" max="5"/>
  </cols>
  <sheetData>
    <row r="1" ht="16.15" customHeight="1" s="28">
      <c r="A1" s="29" t="inlineStr">
        <is>
          <t>DEFECTOS RESIDUALES DE LA RE-INSPECCIÓN</t>
        </is>
      </c>
    </row>
    <row r="2" ht="15" customHeight="1" s="28">
      <c r="A2" s="30" t="inlineStr">
        <is>
          <t>Numerador de M6. Defectos que escaparon a la inspección formal de la Unidad IV y se detectaron al auditar el ERS ya corregido.</t>
        </is>
      </c>
    </row>
    <row r="4" ht="30" customHeight="1" s="28">
      <c r="A4" s="38" t="inlineStr">
        <is>
          <t>N.º</t>
        </is>
      </c>
      <c r="B4" s="38" t="inlineStr">
        <is>
          <t>Sección afectada</t>
        </is>
      </c>
      <c r="C4" s="38" t="inlineStr">
        <is>
          <t>Tipo</t>
        </is>
      </c>
      <c r="D4" s="38" t="inlineStr">
        <is>
          <t>Descripción del defecto</t>
        </is>
      </c>
      <c r="E4" s="38" t="inlineStr">
        <is>
          <t>Estado</t>
        </is>
      </c>
    </row>
    <row r="5" ht="23.85" customHeight="1" s="28">
      <c r="A5" s="48" t="inlineStr">
        <is>
          <t>DR-01</t>
        </is>
      </c>
      <c r="B5" s="40" t="inlineStr">
        <is>
          <t>§8 del ERS</t>
        </is>
      </c>
      <c r="C5" s="41" t="inlineStr">
        <is>
          <t>Completitud</t>
        </is>
      </c>
      <c r="D5" s="40" t="inlineStr">
        <is>
          <t>Ausencia de los diagramas de flujo de datos: el eslabón de proceso de la trazabilidad no podía calcularse</t>
        </is>
      </c>
      <c r="E5" s="41" t="inlineStr">
        <is>
          <t>Corregido</t>
        </is>
      </c>
    </row>
    <row r="6" ht="23.85" customHeight="1" s="28">
      <c r="A6" s="48" t="inlineStr">
        <is>
          <t>DR-02</t>
        </is>
      </c>
      <c r="B6" s="40" t="inlineStr">
        <is>
          <t>§5.2 y Apéndice C</t>
        </is>
      </c>
      <c r="C6" s="41" t="inlineStr">
        <is>
          <t>Completitud</t>
        </is>
      </c>
      <c r="D6" s="40" t="inlineStr">
        <is>
          <t>Las historias de usuario de RF-36 y RF-37 se declaraban aplicadas en el informe de la PE4, pero el PDF publicado no las incorporaba</t>
        </is>
      </c>
      <c r="E6" s="41" t="inlineStr">
        <is>
          <t>Corregido</t>
        </is>
      </c>
    </row>
    <row r="7" ht="23.85" customHeight="1" s="28">
      <c r="A7" s="48" t="inlineStr">
        <is>
          <t>DR-03</t>
        </is>
      </c>
      <c r="B7" s="40" t="inlineStr">
        <is>
          <t>Apéndice D</t>
        </is>
      </c>
      <c r="C7" s="41" t="inlineStr">
        <is>
          <t>Consistencia</t>
        </is>
      </c>
      <c r="D7" s="40" t="inlineStr">
        <is>
          <t>Contradicción entre las 48 y las 52 filas declaradas para la matriz de trazabilidad en secciones distintas</t>
        </is>
      </c>
      <c r="E7" s="41" t="inlineStr">
        <is>
          <t>Corregido</t>
        </is>
      </c>
    </row>
    <row r="8" ht="23.85" customHeight="1" s="28">
      <c r="A8" s="48" t="inlineStr">
        <is>
          <t>DR-04</t>
        </is>
      </c>
      <c r="B8" s="40" t="inlineStr">
        <is>
          <t>§6 (cobertura MVP)</t>
        </is>
      </c>
      <c r="C8" s="41" t="inlineStr">
        <is>
          <t>Consistencia</t>
        </is>
      </c>
      <c r="D8" s="40" t="inlineStr">
        <is>
          <t>La cobertura del MVP no se recalculó con los dos denominadores declarados, corrección que el informe daba por aplicada</t>
        </is>
      </c>
      <c r="E8" s="41" t="inlineStr">
        <is>
          <t>Corregido</t>
        </is>
      </c>
    </row>
    <row r="9" ht="23.85" customHeight="1" s="28">
      <c r="A9" s="48" t="inlineStr">
        <is>
          <t>DR-05</t>
        </is>
      </c>
      <c r="B9" s="40" t="inlineStr">
        <is>
          <t>§2.3</t>
        </is>
      </c>
      <c r="C9" s="41" t="inlineStr">
        <is>
          <t>Consistencia</t>
        </is>
      </c>
      <c r="D9" s="40" t="inlineStr">
        <is>
          <t>Clase de usuario y parte interesada se empleaban como sinónimos, lo que falseaba el denominador de la cobertura de actores</t>
        </is>
      </c>
      <c r="E9" s="41" t="inlineStr">
        <is>
          <t>Corregido</t>
        </is>
      </c>
    </row>
    <row r="10" ht="15" customHeight="1" s="28">
      <c r="A10" s="48" t="inlineStr">
        <is>
          <t>DR-06</t>
        </is>
      </c>
      <c r="B10" s="40" t="inlineStr">
        <is>
          <t>§4 (casos de uso)</t>
        </is>
      </c>
      <c r="C10" s="41" t="inlineStr">
        <is>
          <t>Completitud</t>
        </is>
      </c>
      <c r="D10" s="40" t="inlineStr">
        <is>
          <t>Ocho casos de uso identificados en el diagrama general carecían de especificación textual</t>
        </is>
      </c>
      <c r="E10" s="41" t="inlineStr">
        <is>
          <t>Corregido</t>
        </is>
      </c>
    </row>
    <row r="11" ht="15" customHeight="1" s="28">
      <c r="A11" s="48" t="inlineStr">
        <is>
          <t>DR-07</t>
        </is>
      </c>
      <c r="B11" s="40" t="inlineStr">
        <is>
          <t>§3.3 y Apéndice C</t>
        </is>
      </c>
      <c r="C11" s="41" t="inlineStr">
        <is>
          <t>Completitud</t>
        </is>
      </c>
      <c r="D11" s="40" t="inlineStr">
        <is>
          <t>RNF-19, incorporado por RFC-02, no se había clasificado en la tabla del Apéndice C</t>
        </is>
      </c>
      <c r="E11" s="41" t="inlineStr">
        <is>
          <t>Corregido</t>
        </is>
      </c>
    </row>
    <row r="12" ht="15" customHeight="1" s="28">
      <c r="A12" s="48" t="inlineStr">
        <is>
          <t>TOTAL</t>
        </is>
      </c>
      <c r="B12" s="49">
        <f>COUNTA(A5:A11)</f>
        <v/>
      </c>
      <c r="C12" s="50" t="n"/>
      <c r="D12" s="51" t="inlineStr">
        <is>
          <t>Numerador de M6; alimenta Conteos_base!C23</t>
        </is>
      </c>
      <c r="E12" s="50" t="n"/>
    </row>
    <row r="14" ht="15" customHeight="1" s="28">
      <c r="A14" s="37" t="inlineStr">
        <is>
          <t>Seis de los siete son defectos de completitud o consistencia sobre el conjunto, no sobre un requisito aislado. Es exactamente donde la lista de verificación de la inspección de la Unidad IV no preguntaba: sus preguntas se dirigían a la corrección de cada elemento y no a la completitud del conjunto. De ahí que la acción correctiva sea ampliar esa lista y no reparar el documento.</t>
        </is>
      </c>
    </row>
    <row r="15" ht="15" customHeight="1" s="28"/>
    <row r="16" ht="15" customHeight="1" s="28"/>
  </sheetData>
  <mergeCells count="1">
    <mergeCell ref="A14:E16"/>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E16"/>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4" customWidth="1" style="27" min="1" max="1"/>
    <col width="18" customWidth="1" style="27" min="2" max="2"/>
    <col width="20" customWidth="1" style="27" min="3" max="3"/>
    <col width="34" customWidth="1" style="27" min="4" max="4"/>
    <col width="54" customWidth="1" style="27" min="5" max="5"/>
  </cols>
  <sheetData>
    <row r="1" ht="16.15" customHeight="1" s="28">
      <c r="A1" s="29" t="inlineStr">
        <is>
          <t>MUESTRA DE MODIFICABILIDAD (M5)</t>
        </is>
      </c>
    </row>
    <row r="2" ht="15" customHeight="1" s="28">
      <c r="A2" s="30" t="inlineStr">
        <is>
          <t>Acoplamiento medido como número de requisitos que hay que revisar al modificar cada uno de la muestra.</t>
        </is>
      </c>
    </row>
    <row r="4" ht="30" customHeight="1" s="28">
      <c r="A4" s="38" t="inlineStr">
        <is>
          <t>Requisito</t>
        </is>
      </c>
      <c r="B4" s="38" t="inlineStr">
        <is>
          <t>Prioridad MoSCoW</t>
        </is>
      </c>
      <c r="C4" s="38" t="inlineStr">
        <is>
          <t>Requisitos afectados</t>
        </is>
      </c>
      <c r="D4" s="38" t="inlineStr">
        <is>
          <t>Bloque funcional</t>
        </is>
      </c>
      <c r="E4" s="38" t="inlineStr">
        <is>
          <t>Requisitos que se propagan</t>
        </is>
      </c>
    </row>
    <row r="5" ht="23.85" customHeight="1" s="28">
      <c r="A5" s="48" t="inlineStr">
        <is>
          <t>RF-28</t>
        </is>
      </c>
      <c r="B5" s="41" t="inlineStr">
        <is>
          <t>Must</t>
        </is>
      </c>
      <c r="C5" s="41" t="n">
        <v>4</v>
      </c>
      <c r="D5" s="40" t="inlineStr">
        <is>
          <t>III — Registro operativo de campo</t>
        </is>
      </c>
      <c r="E5" s="40" t="inlineStr">
        <is>
          <t>RF-29 (consulta de avance), RF-37 (liquidación), RF-16 (desempeño), RF-41 (rectificación)</t>
        </is>
      </c>
    </row>
    <row r="6" ht="15" customHeight="1" s="28">
      <c r="A6" s="48" t="inlineStr">
        <is>
          <t>RF-07</t>
        </is>
      </c>
      <c r="B6" s="41" t="inlineStr">
        <is>
          <t>Must</t>
        </is>
      </c>
      <c r="C6" s="41" t="n">
        <v>3</v>
      </c>
      <c r="D6" s="40" t="inlineStr">
        <is>
          <t>V — Diagnóstico asistido por IA</t>
        </is>
      </c>
      <c r="E6" s="40" t="inlineStr">
        <is>
          <t>RF-09 (ficha técnica), RF-12 (alertas), RF-20 (histórico)</t>
        </is>
      </c>
    </row>
    <row r="7" ht="15" customHeight="1" s="28">
      <c r="A7" s="48" t="inlineStr">
        <is>
          <t>RF-13</t>
        </is>
      </c>
      <c r="B7" s="41" t="inlineStr">
        <is>
          <t>Must</t>
        </is>
      </c>
      <c r="C7" s="41" t="n">
        <v>2</v>
      </c>
      <c r="D7" s="40" t="inlineStr">
        <is>
          <t>IV — Polinización asistida</t>
        </is>
      </c>
      <c r="E7" s="40" t="inlineStr">
        <is>
          <t>RF-14 (conteo georreferenciado), RF-16 (desempeño)</t>
        </is>
      </c>
    </row>
    <row r="8" ht="15" customHeight="1" s="28">
      <c r="A8" s="48" t="inlineStr">
        <is>
          <t>RF-17</t>
        </is>
      </c>
      <c r="B8" s="41" t="inlineStr">
        <is>
          <t>Should</t>
        </is>
      </c>
      <c r="C8" s="41" t="n">
        <v>1</v>
      </c>
      <c r="D8" s="40" t="inlineStr">
        <is>
          <t>III — Registro operativo de campo</t>
        </is>
      </c>
      <c r="E8" s="40" t="inlineStr">
        <is>
          <t>RF-18 (estimación de producción)</t>
        </is>
      </c>
    </row>
    <row r="9" ht="15" customHeight="1" s="28">
      <c r="A9" s="48" t="inlineStr">
        <is>
          <t>RF-34</t>
        </is>
      </c>
      <c r="B9" s="41" t="inlineStr">
        <is>
          <t>Could</t>
        </is>
      </c>
      <c r="C9" s="41" t="n">
        <v>1</v>
      </c>
      <c r="D9" s="40" t="inlineStr">
        <is>
          <t>II — Planificación y seguimiento</t>
        </is>
      </c>
      <c r="E9" s="40" t="inlineStr">
        <is>
          <t>RF-26 (planificación semanal)</t>
        </is>
      </c>
    </row>
    <row r="10" ht="15" customHeight="1" s="28">
      <c r="A10" s="48" t="inlineStr">
        <is>
          <t>TOTALES</t>
        </is>
      </c>
      <c r="B10" s="49">
        <f>COUNTA(A5:A9)</f>
        <v/>
      </c>
      <c r="C10" s="49">
        <f>SUM(C5:C9)</f>
        <v/>
      </c>
      <c r="D10" s="30" t="inlineStr">
        <is>
          <t>Tamaño de muestra y suma; alimentan M5</t>
        </is>
      </c>
    </row>
    <row r="11" ht="15" customHeight="1" s="28">
      <c r="A11" s="31" t="inlineStr">
        <is>
          <t>M5 =</t>
        </is>
      </c>
      <c r="B11" s="52">
        <f>C10/B10</f>
        <v/>
      </c>
      <c r="D11" s="30" t="inlineStr">
        <is>
          <t>Acoplamiento medio; referencia ≤ 3,00</t>
        </is>
      </c>
    </row>
    <row r="13" ht="15" customHeight="1" s="28">
      <c r="A13" s="37" t="inlineStr">
        <is>
          <t>La muestra combina bloques distintos y las tres prioridades MoSCoW, para no medir solo el núcleo del sistema. El requisito de mayor acoplamiento resulta ser RF-28, el registro de avance, del que dependen la liquidación, el indicador de desempeño y la rectificación: es consistente con que sea también el requisito con más casos de uso asociados. El valor se mantiene bajo porque la correspondencia uno a uno entre bloque funcional, módulo y proceso del DFD hace que un cambio se propague por una sola ruta.</t>
        </is>
      </c>
    </row>
    <row r="14" ht="15" customHeight="1" s="28"/>
    <row r="15" ht="15" customHeight="1" s="28"/>
    <row r="16" ht="15" customHeight="1" s="28"/>
  </sheetData>
  <mergeCells count="1">
    <mergeCell ref="A13:E16"/>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E15"/>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6" customWidth="1" style="27" min="1" max="1"/>
    <col width="12" customWidth="1" style="27" min="2" max="2"/>
    <col width="14" customWidth="1" style="27" min="3" max="3"/>
    <col width="12" customWidth="1" style="27" min="4" max="4"/>
    <col width="66" customWidth="1" style="27" min="5" max="5"/>
  </cols>
  <sheetData>
    <row r="1" ht="16.15" customHeight="1" s="28">
      <c r="A1" s="29" t="inlineStr">
        <is>
          <t>VALORACIÓN PONDERADA DE LA AUDITORÍA</t>
        </is>
      </c>
    </row>
    <row r="2" ht="15" customHeight="1" s="28">
      <c r="A2" s="30" t="inlineStr">
        <is>
          <t>El aporte de cada métrica es peso × nivel. El total se expresa sobre 4,00.</t>
        </is>
      </c>
    </row>
    <row r="4" ht="30" customHeight="1" s="28">
      <c r="A4" s="38" t="inlineStr">
        <is>
          <t>Métrica</t>
        </is>
      </c>
      <c r="B4" s="38" t="inlineStr">
        <is>
          <t>Peso</t>
        </is>
      </c>
      <c r="C4" s="38" t="inlineStr">
        <is>
          <t>Nivel (0–4)</t>
        </is>
      </c>
      <c r="D4" s="38" t="inlineStr">
        <is>
          <t>Aporte</t>
        </is>
      </c>
      <c r="E4" s="38" t="inlineStr">
        <is>
          <t>Criterio del nivel</t>
        </is>
      </c>
    </row>
    <row r="5" ht="15" customHeight="1" s="28">
      <c r="A5" s="42" t="inlineStr">
        <is>
          <t>M1 Completitud</t>
        </is>
      </c>
      <c r="B5" s="46" t="n">
        <v>0.2</v>
      </c>
      <c r="C5" s="41" t="n">
        <v>4</v>
      </c>
      <c r="D5" s="46">
        <f>B5*C5</f>
        <v/>
      </c>
      <c r="E5" s="40" t="inlineStr">
        <is>
          <t>Cumple con evidencia completa tras la acción correctiva</t>
        </is>
      </c>
    </row>
    <row r="6" ht="15" customHeight="1" s="28">
      <c r="A6" s="42" t="inlineStr">
        <is>
          <t>M2 Consistencia</t>
        </is>
      </c>
      <c r="B6" s="46" t="n">
        <v>0.15</v>
      </c>
      <c r="C6" s="41" t="n">
        <v>2</v>
      </c>
      <c r="D6" s="46">
        <f>B6*C6</f>
        <v/>
      </c>
      <c r="E6" s="40" t="inlineStr">
        <is>
          <t>Método declarado y resultado reportado (1 - 2/210); evidencia granular (hoja Conflictos_M2) no localizada en los artefactos disponibles</t>
        </is>
      </c>
    </row>
    <row r="7" ht="15" customHeight="1" s="28">
      <c r="A7" s="42" t="inlineStr">
        <is>
          <t>M3 Verificabilidad</t>
        </is>
      </c>
      <c r="B7" s="46" t="n">
        <v>0.2</v>
      </c>
      <c r="C7" s="41" t="n">
        <v>4</v>
      </c>
      <c r="D7" s="46">
        <f>B7*C7</f>
        <v/>
      </c>
      <c r="E7" s="40" t="inlineStr">
        <is>
          <t>Cumple; 61 de 61 requisitos con criterio comprobable</t>
        </is>
      </c>
    </row>
    <row r="8" ht="15" customHeight="1" s="28">
      <c r="A8" s="42" t="inlineStr">
        <is>
          <t>M4 Trazabilidad</t>
        </is>
      </c>
      <c r="B8" s="46" t="n">
        <v>0.2</v>
      </c>
      <c r="C8" s="41" t="n">
        <v>4</v>
      </c>
      <c r="D8" s="46">
        <f>B8*C8</f>
        <v/>
      </c>
      <c r="E8" s="40" t="inlineStr">
        <is>
          <t>Cumple en ambos sentidos sobre los 42 RF (denominador de esta métrica); los 19 RNF y 10 RD se verifican por otra vía, ver 04_Trazabilidad/readme.md</t>
        </is>
      </c>
    </row>
    <row r="9" ht="15" customHeight="1" s="28">
      <c r="A9" s="42" t="inlineStr">
        <is>
          <t>M5 Modificabilidad</t>
        </is>
      </c>
      <c r="B9" s="46" t="n">
        <v>0.1</v>
      </c>
      <c r="C9" s="41" t="n">
        <v>4</v>
      </c>
      <c r="D9" s="46">
        <f>B9*C9</f>
        <v/>
      </c>
      <c r="E9" s="40" t="inlineStr">
        <is>
          <t>Cumple sobre muestra representativa de cinco requisitos</t>
        </is>
      </c>
    </row>
    <row r="10" ht="15" customHeight="1" s="28">
      <c r="A10" s="42" t="inlineStr">
        <is>
          <t>M6 Corrección</t>
        </is>
      </c>
      <c r="B10" s="46" t="n">
        <v>0.15</v>
      </c>
      <c r="C10" s="41" t="n">
        <v>2</v>
      </c>
      <c r="D10" s="46">
        <f>B10*C10</f>
        <v/>
      </c>
      <c r="E10" s="40" t="inlineStr">
        <is>
          <t>Por debajo de la referencia, con acción correctiva de proceso aplicada</t>
        </is>
      </c>
    </row>
    <row r="11" ht="15" customHeight="1" s="28">
      <c r="A11" s="48" t="inlineStr">
        <is>
          <t>TOTAL</t>
        </is>
      </c>
      <c r="B11" s="53">
        <f>SUM(B5:B10)</f>
        <v/>
      </c>
      <c r="C11" s="54" t="inlineStr">
        <is>
          <t>—</t>
        </is>
      </c>
      <c r="D11" s="53">
        <f>SUM(D5:D10)</f>
        <v/>
      </c>
      <c r="E11" s="48" t="inlineStr">
        <is>
          <t>Sobre 4,00</t>
        </is>
      </c>
    </row>
    <row r="13" ht="15" customHeight="1" s="28">
      <c r="A13" s="37" t="inlineStr">
        <is>
          <t>El 3,40 sobre 4,00 se sostiene en cuatro métricas cumplidas y dos con limitación documentada (M2 y M6). La lectura honesta del conjunto no es que el ERS sea bueno, sino que el ERS es ahora medible: antes de esta unidad no existía un instrumento capaz de decir si lo era.</t>
        </is>
      </c>
    </row>
    <row r="14" ht="15" customHeight="1" s="28"/>
    <row r="15" ht="15" customHeight="1" s="28"/>
  </sheetData>
  <mergeCells count="1">
    <mergeCell ref="A13:E15"/>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2026-08-21T19:23:41Z</dcterms:created>
  <dcterms:modified xmlns:dcterms="http://purl.org/dc/terms/" xmlns:xsi="http://www.w3.org/2001/XMLSchema-instance" xsi:type="dcterms:W3CDTF">2026-08-31T20:18:37Z</dcterms:modified>
  <cp:revision>0</cp:revision>
</cp:coreProperties>
</file>